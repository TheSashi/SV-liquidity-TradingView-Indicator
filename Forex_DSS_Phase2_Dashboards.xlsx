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dex" sheetId="1" state="visible" r:id="rId3"/>
    <sheet name="Trader_Dashboard" sheetId="2" state="visible" r:id="rId4"/>
    <sheet name="Coach_Dashboard" sheetId="3" state="visible" r:id="rId5"/>
    <sheet name="Institutional_Dashboard" sheetId="4" state="visible" r:id="rId6"/>
    <sheet name="Operational_Dashboard" sheetId="5" state="visible" r:id="rId7"/>
    <sheet name="Input" sheetId="6" state="visible" r:id="rId8"/>
    <sheet name="Logic" sheetId="7" state="visible" r:id="rId9"/>
    <sheet name="Calculation_Breakdown" sheetId="8" state="visible" r:id="rId10"/>
    <sheet name="Trade_History" sheetId="9" state="visible" r:id="rId11"/>
    <sheet name="Historical_Data" sheetId="10" state="hidden" r:id="rId12"/>
  </sheets>
  <definedNames>
    <definedName function="false" hidden="false" localSheetId="2" name="_xlnm.Print_Area" vbProcedure="false">Coach_Dashboard!$A$1:$N$36</definedName>
    <definedName function="false" hidden="false" localSheetId="3" name="_xlnm.Print_Area" vbProcedure="false">Institutional_Dashboard!$A$1:$N$36</definedName>
    <definedName function="false" hidden="false" localSheetId="4" name="_xlnm.Print_Area" vbProcedure="false">Operational_Dashboard!$A$1:$N$28</definedName>
    <definedName function="false" hidden="false" localSheetId="1" name="_xlnm.Print_Area" vbProcedure="false">Trader_Dashboard!$A$1:$N$40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<sst xmlns="http://schemas.openxmlformats.org/spreadsheetml/2006/main" count="847" uniqueCount="269">
  <si>
    <t xml:space="preserve">FOREX DSS  -  Data Visualisation Workbook</t>
  </si>
  <si>
    <t xml:space="preserve">Enterprise Computing Phase 2  |  Sashank Vuppala  |  SV4SV Industries</t>
  </si>
  <si>
    <t xml:space="preserve">Stakeholder dashboards</t>
  </si>
  <si>
    <t xml:space="preserve">Take-or-reject signal, confidence, risk parameters, recent performance</t>
  </si>
  <si>
    <t xml:space="preserve">Eight-filter evaluation table and setup-quality relationship</t>
  </si>
  <si>
    <t xml:space="preserve">Portfolio aggregate metrics, equity curve, per-pair breakdown</t>
  </si>
  <si>
    <t xml:space="preserve">System soundness, data completeness and error-rate monitoring</t>
  </si>
  <si>
    <t xml:space="preserve">Manual data entry point that triggers evaluation</t>
  </si>
  <si>
    <t xml:space="preserve">Filter gates, displacement, confidence and risk maths</t>
  </si>
  <si>
    <t xml:space="preserve">Step-by-step derivation for teaching</t>
  </si>
  <si>
    <t xml:space="preserve">Accumulated evaluation log driving the aggregates</t>
  </si>
  <si>
    <t xml:space="preserve">Colour convention (consistent across all dashboards)</t>
  </si>
  <si>
    <t xml:space="preserve">PASS / Win / Long / Operational</t>
  </si>
  <si>
    <t xml:space="preserve">FAIL / Loss / Short / Failed</t>
  </si>
  <si>
    <t xml:space="preserve">Degraded / Caution</t>
  </si>
  <si>
    <t xml:space="preserve">Inactive / Not applicable</t>
  </si>
  <si>
    <t xml:space="preserve">Data imported for the period ending 13 March 2026 (static dataset)</t>
  </si>
  <si>
    <t xml:space="preserve">Trader Dashboard</t>
  </si>
  <si>
    <t xml:space="preserve">Primary end user: take-or-reject in seconds. Data imported for the period ending 13 March 2026 (static dataset)</t>
  </si>
  <si>
    <t xml:space="preserve">Direction</t>
  </si>
  <si>
    <t xml:space="preserve">Confidence</t>
  </si>
  <si>
    <t xml:space="preserve">Risk-reward</t>
  </si>
  <si>
    <t xml:space="preserve">Entry</t>
  </si>
  <si>
    <t xml:space="preserve">Stop loss</t>
  </si>
  <si>
    <t xml:space="preserve">Take profit</t>
  </si>
  <si>
    <t xml:space="preserve">Recent signals</t>
  </si>
  <si>
    <t xml:space="preserve">Date</t>
  </si>
  <si>
    <t xml:space="preserve">Pair</t>
  </si>
  <si>
    <t xml:space="preserve">Dir</t>
  </si>
  <si>
    <t xml:space="preserve">Conf</t>
  </si>
  <si>
    <t xml:space="preserve">RR</t>
  </si>
  <si>
    <t xml:space="preserve">Outcome</t>
  </si>
  <si>
    <t xml:space="preserve">P&amp;L (pips)</t>
  </si>
  <si>
    <t xml:space="preserve">Coach Dashboard</t>
  </si>
  <si>
    <t xml:space="preserve">Educational stakeholder: trace pass/fail logic filter by filter. Data imported for the period ending 13 March 2026 (static dataset)</t>
  </si>
  <si>
    <t xml:space="preserve">Current bar - eight-filter evaluation</t>
  </si>
  <si>
    <t xml:space="preserve">Filter</t>
  </si>
  <si>
    <t xml:space="preserve">Condition</t>
  </si>
  <si>
    <t xml:space="preserve">Tested value</t>
  </si>
  <si>
    <t xml:space="preserve">Result</t>
  </si>
  <si>
    <t xml:space="preserve">Plain-language explanation</t>
  </si>
  <si>
    <t xml:space="preserve">E1</t>
  </si>
  <si>
    <t xml:space="preserve">Recent range / prior range &gt;= 1.0</t>
  </si>
  <si>
    <t xml:space="preserve">Confirms the market is expanding, not ranging, where structure breaks fail more often.</t>
  </si>
  <si>
    <t xml:space="preserve">E2</t>
  </si>
  <si>
    <t xml:space="preserve">0.02% &lt;= ATR/price &lt;= 0.35%</t>
  </si>
  <si>
    <t xml:space="preserve">Confirms volatility is normal, neither too dead to move nor too wild to trust.</t>
  </si>
  <si>
    <t xml:space="preserve">E3</t>
  </si>
  <si>
    <t xml:space="preserve">Efficiency &gt;= 0.35</t>
  </si>
  <si>
    <t xml:space="preserve">Confirms the candle is body-driven, not a wick, so momentum is genuine.</t>
  </si>
  <si>
    <t xml:space="preserve">E4</t>
  </si>
  <si>
    <t xml:space="preserve">Close on correct side of rising/falling 21 EMA</t>
  </si>
  <si>
    <t xml:space="preserve">Confirms the trade aligns with the higher-timeframe trend, not against it.</t>
  </si>
  <si>
    <t xml:space="preserve">E5</t>
  </si>
  <si>
    <t xml:space="preserve">Displacement &gt;= 1.5x avg body</t>
  </si>
  <si>
    <t xml:space="preserve">Confirms the displacement is strong enough to be real institutional momentum.</t>
  </si>
  <si>
    <t xml:space="preserve">E6</t>
  </si>
  <si>
    <t xml:space="preserve">FVG gap &gt;= 0.4x ATR</t>
  </si>
  <si>
    <t xml:space="preserve">Confirms the fair value gap is large enough to be a meaningful imbalance.</t>
  </si>
  <si>
    <t xml:space="preserve">E7</t>
  </si>
  <si>
    <t xml:space="preserve">Clean close inside zone</t>
  </si>
  <si>
    <t xml:space="preserve">Confirms price actually closed in the zone rather than only grazing it.</t>
  </si>
  <si>
    <t xml:space="preserve">E8</t>
  </si>
  <si>
    <t xml:space="preserve">Bars since last &gt;= 5, no lockout</t>
  </si>
  <si>
    <t xml:space="preserve">Confirms spacing from the last trade and that no two-loss lockout is active.</t>
  </si>
  <si>
    <t xml:space="preserve">Overall decision</t>
  </si>
  <si>
    <t xml:space="preserve">Setup quality relationship: displacement ratio vs trade P&amp;L</t>
  </si>
  <si>
    <t xml:space="preserve">Institutional Dashboard</t>
  </si>
  <si>
    <t xml:space="preserve">Governance stakeholder: is the system preserving capital within risk tolerance? Data imported for the period ending 13 March 2026 (static dataset)</t>
  </si>
  <si>
    <t xml:space="preserve">Total return (pips)</t>
  </si>
  <si>
    <t xml:space="preserve">Trades</t>
  </si>
  <si>
    <t xml:space="preserve">Win rate</t>
  </si>
  <si>
    <t xml:space="preserve">Avg win (pips)</t>
  </si>
  <si>
    <t xml:space="preserve">Avg loss (pips)</t>
  </si>
  <si>
    <t xml:space="preserve">Profit factor</t>
  </si>
  <si>
    <t xml:space="preserve">Max DD (pips)</t>
  </si>
  <si>
    <t xml:space="preserve">Avg RR tier</t>
  </si>
  <si>
    <t xml:space="preserve">Drawdown vs 120-pip tolerance band</t>
  </si>
  <si>
    <t xml:space="preserve">Performance by currency pair</t>
  </si>
  <si>
    <t xml:space="preserve">Net (pips)</t>
  </si>
  <si>
    <t xml:space="preserve">Avg RR</t>
  </si>
  <si>
    <t xml:space="preserve">EUR/USD</t>
  </si>
  <si>
    <t xml:space="preserve">GBP/USD</t>
  </si>
  <si>
    <t xml:space="preserve">USD/JPY</t>
  </si>
  <si>
    <t xml:space="preserve">Operational Dashboard</t>
  </si>
  <si>
    <t xml:space="preserve">Operational stakeholder: is the system sound so results can be trusted? Data imported for the period ending 13 March 2026 (static dataset)</t>
  </si>
  <si>
    <t xml:space="preserve">System status</t>
  </si>
  <si>
    <t xml:space="preserve">Component</t>
  </si>
  <si>
    <t xml:space="preserve">Metric</t>
  </si>
  <si>
    <t xml:space="preserve">Value</t>
  </si>
  <si>
    <t xml:space="preserve">Status</t>
  </si>
  <si>
    <t xml:space="preserve">Historical data feed</t>
  </si>
  <si>
    <t xml:space="preserve">Bars available (&gt;=100 required)</t>
  </si>
  <si>
    <t xml:space="preserve">Evaluation validation</t>
  </si>
  <si>
    <t xml:space="preserve">Current bar decision produced</t>
  </si>
  <si>
    <t xml:space="preserve">Error rate</t>
  </si>
  <si>
    <t xml:space="preserve">Failed evaluations / cycles</t>
  </si>
  <si>
    <t xml:space="preserve">Data freshness</t>
  </si>
  <si>
    <t xml:space="preserve">Days since import</t>
  </si>
  <si>
    <t xml:space="preserve">Evaluation cycle log (last 10)</t>
  </si>
  <si>
    <t xml:space="preserve">Errors</t>
  </si>
  <si>
    <t xml:space="preserve">Evals</t>
  </si>
  <si>
    <t xml:space="preserve">Cycle 1</t>
  </si>
  <si>
    <t xml:space="preserve">Cycle 2</t>
  </si>
  <si>
    <t xml:space="preserve">Cycle 3</t>
  </si>
  <si>
    <t xml:space="preserve">Cycle 4</t>
  </si>
  <si>
    <t xml:space="preserve">Cycle 5</t>
  </si>
  <si>
    <t xml:space="preserve">Cycle 6</t>
  </si>
  <si>
    <t xml:space="preserve">Cycle 7</t>
  </si>
  <si>
    <t xml:space="preserve">Cycle 8</t>
  </si>
  <si>
    <t xml:space="preserve">Cycle 9</t>
  </si>
  <si>
    <t xml:space="preserve">Cycle 10</t>
  </si>
  <si>
    <t xml:space="preserve">Input  -  New Bar Entry</t>
  </si>
  <si>
    <t xml:space="preserve">Enter a new bar; formulas evaluate it against the stored historical dataset (manual trigger cycle).</t>
  </si>
  <si>
    <t xml:space="preserve">Field</t>
  </si>
  <si>
    <t xml:space="preserve">Currency pair</t>
  </si>
  <si>
    <t xml:space="preserve">2026-03-13</t>
  </si>
  <si>
    <t xml:space="preserve">Time</t>
  </si>
  <si>
    <t xml:space="preserve">08:00</t>
  </si>
  <si>
    <t xml:space="preserve">Open</t>
  </si>
  <si>
    <t xml:space="preserve">High</t>
  </si>
  <si>
    <t xml:space="preserve">Low</t>
  </si>
  <si>
    <t xml:space="preserve">Close</t>
  </si>
  <si>
    <t xml:space="preserve">Prior swing high</t>
  </si>
  <si>
    <t xml:space="preserve">Prior swing low</t>
  </si>
  <si>
    <t xml:space="preserve">FVG gap size (pips)</t>
  </si>
  <si>
    <t xml:space="preserve">Retest closes cleanly?</t>
  </si>
  <si>
    <t xml:space="preserve">Yes</t>
  </si>
  <si>
    <t xml:space="preserve">Setup direction</t>
  </si>
  <si>
    <t xml:space="preserve">BUY</t>
  </si>
  <si>
    <t xml:space="preserve">Bars since last trade</t>
  </si>
  <si>
    <t xml:space="preserve">Blue cells are the only manually entered values. Every downstream figure is formula-derived.</t>
  </si>
  <si>
    <t xml:space="preserve">Logic  -  Evaluation Engine</t>
  </si>
  <si>
    <t xml:space="preserve">Eight Module E filter gates, displacement-to-confidence mapping and risk parameters for the current bar.</t>
  </si>
  <si>
    <t xml:space="preserve">CURRENT BAR METRICS</t>
  </si>
  <si>
    <t xml:space="preserve">Pip size</t>
  </si>
  <si>
    <t xml:space="preserve">Body</t>
  </si>
  <si>
    <t xml:space="preserve">Range</t>
  </si>
  <si>
    <t xml:space="preserve">Efficiency</t>
  </si>
  <si>
    <t xml:space="preserve">AvgBody14 (baseline)</t>
  </si>
  <si>
    <t xml:space="preserve">ATR14 (baseline)</t>
  </si>
  <si>
    <t xml:space="preserve">EMA21 previous</t>
  </si>
  <si>
    <t xml:space="preserve">EMA21 prior-2</t>
  </si>
  <si>
    <t xml:space="preserve">EMA21 current</t>
  </si>
  <si>
    <t xml:space="preserve">PriorRange5 (baseline)</t>
  </si>
  <si>
    <t xml:space="preserve">ATR/price ratio</t>
  </si>
  <si>
    <t xml:space="preserve">Displacement ratio</t>
  </si>
  <si>
    <t xml:space="preserve">Confidence score</t>
  </si>
  <si>
    <t xml:space="preserve">Risk-reward tier (n:1)</t>
  </si>
  <si>
    <t xml:space="preserve">EIGHT MODULE E FILTER GATES</t>
  </si>
  <si>
    <t xml:space="preserve">Market regime expanding (recent range &gt;= prior range)</t>
  </si>
  <si>
    <t xml:space="preserve">Volatility band: ATR/price within 0.02%-0.35%</t>
  </si>
  <si>
    <t xml:space="preserve">Retest candle efficiency &gt;= 35%</t>
  </si>
  <si>
    <t xml:space="preserve">HTF trend alignment with 21 EMA and matching slope</t>
  </si>
  <si>
    <t xml:space="preserve">Displacement ratio &gt;= 1.5x average body</t>
  </si>
  <si>
    <t xml:space="preserve">Retest closes cleanly inside zone (not a wick graze)</t>
  </si>
  <si>
    <t xml:space="preserve">Bars since last trade &gt;= 5 and no two-loss lockout</t>
  </si>
  <si>
    <t xml:space="preserve">DECISION &amp; RISK PARAMETERS</t>
  </si>
  <si>
    <t xml:space="preserve">Filters passed</t>
  </si>
  <si>
    <t xml:space="preserve">Signal decision</t>
  </si>
  <si>
    <t xml:space="preserve">Entry price</t>
  </si>
  <si>
    <t xml:space="preserve">SL buffer (xATR)</t>
  </si>
  <si>
    <t xml:space="preserve">Raw stop</t>
  </si>
  <si>
    <t xml:space="preserve">Risk distance (&gt;=2xATR)</t>
  </si>
  <si>
    <t xml:space="preserve">Calculation Breakdown</t>
  </si>
  <si>
    <t xml:space="preserve">Step-by-step derivation a coach can show a student: how the numbers become a decision.</t>
  </si>
  <si>
    <t xml:space="preserve">Step</t>
  </si>
  <si>
    <t xml:space="preserve">Formula logic</t>
  </si>
  <si>
    <t xml:space="preserve">Live value</t>
  </si>
  <si>
    <t xml:space="preserve">1. Candle body</t>
  </si>
  <si>
    <t xml:space="preserve">ABS(Close - Open)</t>
  </si>
  <si>
    <t xml:space="preserve">2. 14-bar average body</t>
  </si>
  <si>
    <t xml:space="preserve">AVERAGE of last 14 historical bodies</t>
  </si>
  <si>
    <t xml:space="preserve">3. Displacement ratio</t>
  </si>
  <si>
    <t xml:space="preserve">Body / AvgBody14</t>
  </si>
  <si>
    <t xml:space="preserve">4. Confidence score</t>
  </si>
  <si>
    <t xml:space="preserve">(Displacement - 1) / 2, clamped 0 to 1</t>
  </si>
  <si>
    <t xml:space="preserve">5. Risk-reward tier</t>
  </si>
  <si>
    <t xml:space="preserve">conf&gt;=0.85 -&gt; 3:1; &gt;=0.5 -&gt; 2:1; else 1:1</t>
  </si>
  <si>
    <t xml:space="preserve">6. Stop-loss buffer</t>
  </si>
  <si>
    <t xml:space="preserve">xATR scaled by confidence band</t>
  </si>
  <si>
    <t xml:space="preserve">7. Risk distance</t>
  </si>
  <si>
    <t xml:space="preserve">MAX(entry-stop, 2 x ATR)</t>
  </si>
  <si>
    <t xml:space="preserve">8. Take profit</t>
  </si>
  <si>
    <t xml:space="preserve">Entry +/- tier x risk, capped at 6 x ATR</t>
  </si>
  <si>
    <t xml:space="preserve">Filter gate logic (native Excel formula conditions)</t>
  </si>
  <si>
    <t xml:space="preserve">E1  PASS when RecentRange5 / PriorRange5 &gt;= 1.0   (market regime is expanding)</t>
  </si>
  <si>
    <t xml:space="preserve">E2  PASS when ATR / price is between 0.0002 and 0.0035   (volatility band)</t>
  </si>
  <si>
    <t xml:space="preserve">E3  PASS when body / range efficiency &gt;= 0.35</t>
  </si>
  <si>
    <t xml:space="preserve">E4  PASS when the close sits on the correct side of a sloping 21 EMA</t>
  </si>
  <si>
    <t xml:space="preserve">E5  PASS when displacement ratio &gt;= 1.5x the average body</t>
  </si>
  <si>
    <t xml:space="preserve">E6  PASS when the fair value gap &gt;= 0.4x ATR</t>
  </si>
  <si>
    <t xml:space="preserve">E7  PASS when the retest closes cleanly inside the zone</t>
  </si>
  <si>
    <t xml:space="preserve">E8  PASS when bars since last trade &gt;= 5 and no two-loss lockout is active</t>
  </si>
  <si>
    <t xml:space="preserve">#</t>
  </si>
  <si>
    <t xml:space="preserve">SL</t>
  </si>
  <si>
    <t xml:space="preserve">TP</t>
  </si>
  <si>
    <t xml:space="preserve">RR Tier</t>
  </si>
  <si>
    <t xml:space="preserve">Disp Ratio</t>
  </si>
  <si>
    <t xml:space="preserve">Cumulative</t>
  </si>
  <si>
    <t xml:space="preserve">Peak</t>
  </si>
  <si>
    <t xml:space="preserve">Drawdown</t>
  </si>
  <si>
    <t xml:space="preserve">2026-03-03</t>
  </si>
  <si>
    <t xml:space="preserve">SELL</t>
  </si>
  <si>
    <t xml:space="preserve">Loss</t>
  </si>
  <si>
    <t xml:space="preserve">2026-03-05</t>
  </si>
  <si>
    <t xml:space="preserve">2026-03-06</t>
  </si>
  <si>
    <t xml:space="preserve">Win</t>
  </si>
  <si>
    <t xml:space="preserve">2026-03-07</t>
  </si>
  <si>
    <t xml:space="preserve">2026-03-09</t>
  </si>
  <si>
    <t xml:space="preserve">2026-03-11</t>
  </si>
  <si>
    <t xml:space="preserve">2026-03-12</t>
  </si>
  <si>
    <t xml:space="preserve">2026-03-14</t>
  </si>
  <si>
    <t xml:space="preserve">2026-03-15</t>
  </si>
  <si>
    <t xml:space="preserve">2026-03-17</t>
  </si>
  <si>
    <t xml:space="preserve">2026-03-18</t>
  </si>
  <si>
    <t xml:space="preserve">2026-03-19</t>
  </si>
  <si>
    <t xml:space="preserve">2026-03-21</t>
  </si>
  <si>
    <t xml:space="preserve">2026-03-23</t>
  </si>
  <si>
    <t xml:space="preserve">2026-03-24</t>
  </si>
  <si>
    <t xml:space="preserve">2026-03-26</t>
  </si>
  <si>
    <t xml:space="preserve">2026-03-27</t>
  </si>
  <si>
    <t xml:space="preserve">2026-03-29</t>
  </si>
  <si>
    <t xml:space="preserve">2026-03-31</t>
  </si>
  <si>
    <t xml:space="preserve">2026-04-02</t>
  </si>
  <si>
    <t xml:space="preserve">2026-04-04</t>
  </si>
  <si>
    <t xml:space="preserve">2026-04-06</t>
  </si>
  <si>
    <t xml:space="preserve">2026-04-08</t>
  </si>
  <si>
    <t xml:space="preserve">2026-04-10</t>
  </si>
  <si>
    <t xml:space="preserve">2026-04-12</t>
  </si>
  <si>
    <t xml:space="preserve">2026-04-14</t>
  </si>
  <si>
    <t xml:space="preserve">2026-04-15</t>
  </si>
  <si>
    <t xml:space="preserve">2026-04-16</t>
  </si>
  <si>
    <t xml:space="preserve">2026-04-17</t>
  </si>
  <si>
    <t xml:space="preserve">2026-04-18</t>
  </si>
  <si>
    <t xml:space="preserve">2026-04-19</t>
  </si>
  <si>
    <t xml:space="preserve">2026-04-21</t>
  </si>
  <si>
    <t xml:space="preserve">2026-04-22</t>
  </si>
  <si>
    <t xml:space="preserve">2026-04-24</t>
  </si>
  <si>
    <t xml:space="preserve">2026-04-26</t>
  </si>
  <si>
    <t xml:space="preserve">2026-04-28</t>
  </si>
  <si>
    <t xml:space="preserve">Bar</t>
  </si>
  <si>
    <t xml:space="preserve">Session</t>
  </si>
  <si>
    <t xml:space="preserve">TrueRange</t>
  </si>
  <si>
    <t xml:space="preserve">ATR14</t>
  </si>
  <si>
    <t xml:space="preserve">EMA21</t>
  </si>
  <si>
    <t xml:space="preserve">AvgBody14</t>
  </si>
  <si>
    <t xml:space="preserve">RecentRange5</t>
  </si>
  <si>
    <t xml:space="preserve">PriorRange5</t>
  </si>
  <si>
    <t xml:space="preserve">RegimeRatio</t>
  </si>
  <si>
    <t xml:space="preserve">2026-03-02</t>
  </si>
  <si>
    <t xml:space="preserve">01:00</t>
  </si>
  <si>
    <t xml:space="preserve">London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</si>
  <si>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</si>
  <si>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</si>
  <si>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</si>
  <si>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</si>
  <si>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</si>
  <si>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Off-session</t>
  </si>
  <si>
    <t xml:space="preserve">07:00</t>
  </si>
  <si>
    <t xml:space="preserve">New York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</si>
  <si>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</si>
  <si>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</si>
  <si>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</si>
  <si>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</si>
  <si>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</si>
  <si>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2026-03-04</t>
  </si>
  <si>
    <t xml:space="preserve">2026-03-08</t>
  </si>
  <si>
    <t xml:space="preserve">2026-03-10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</si>
</sst>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%"/>
    <numFmt numFmtId="166" formatCode="0.00000"/>
    <numFmt numFmtId="167" formatCode="0.00"/>
    <numFmt numFmtId="168" formatCode="0.0"/>
    <numFmt numFmtId="169" formatCode="0.0000"/>
    <numFmt numFmtId="170" formatCode="0"/>
    <numFmt numFmtId="171" formatCode="0.0%"/>
    <numFmt numFmtId="172" formatCode="General"/>
  </numFmts>
  <fonts count="2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Calibri"/>
      <family val="0"/>
      <charset val="1"/>
    </font>
    <font>
      <i val="true"/>
      <sz val="10"/>
      <color rgb="FFFFFFFF"/>
      <name val="Calibri"/>
      <family val="0"/>
      <charset val="1"/>
    </font>
    <font>
      <b val="true"/>
      <sz val="13"/>
      <color rgb="FF1F2A44"/>
      <name val="Calibri"/>
      <family val="0"/>
      <charset val="1"/>
    </font>
    <font>
      <b val="true"/>
      <sz val="12"/>
      <color rgb="FF1155CC"/>
      <name val="Calibri"/>
      <family val="0"/>
      <charset val="1"/>
    </font>
    <font>
      <sz val="10"/>
      <color rgb="FF33415C"/>
      <name val="Calibri"/>
      <family val="0"/>
      <charset val="1"/>
    </font>
    <font>
      <b val="true"/>
      <sz val="11"/>
      <color rgb="FF1F2A44"/>
      <name val="Calibri"/>
      <family val="0"/>
      <charset val="1"/>
    </font>
    <font>
      <sz val="11"/>
      <color rgb="FF1A1A1A"/>
      <name val="Calibri"/>
      <family val="0"/>
      <charset val="1"/>
    </font>
    <font>
      <sz val="10"/>
      <color rgb="FF1A1A1A"/>
      <name val="Calibri"/>
      <family val="0"/>
      <charset val="1"/>
    </font>
    <font>
      <i val="true"/>
      <sz val="9"/>
      <color rgb="FF9E9E9E"/>
      <name val="Calibri"/>
      <family val="0"/>
      <charset val="1"/>
    </font>
    <font>
      <b val="true"/>
      <sz val="36"/>
      <color rgb="FFFFFFFF"/>
      <name val="Calibri"/>
      <family val="0"/>
      <charset val="1"/>
    </font>
    <font>
      <b val="true"/>
      <sz val="10"/>
      <color rgb="FF1A1A1A"/>
      <name val="Calibri"/>
      <family val="0"/>
      <charset val="1"/>
    </font>
    <font>
      <b val="true"/>
      <sz val="11"/>
      <color rgb="FF1A1A1A"/>
      <name val="Calibri"/>
      <family val="0"/>
      <charset val="1"/>
    </font>
    <font>
      <b val="true"/>
      <sz val="12"/>
      <color rgb="FF1F2A44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sz val="9"/>
      <color rgb="FF1A1A1A"/>
      <name val="Calibri"/>
      <family val="0"/>
      <charset val="1"/>
    </font>
    <font>
      <b val="true"/>
      <sz val="11"/>
      <color rgb="FF1155CC"/>
      <name val="Calibri"/>
      <family val="0"/>
      <charset val="1"/>
    </font>
    <font>
      <b val="true"/>
      <sz val="10"/>
      <color rgb="FF000000"/>
      <name val="Calibri"/>
      <family val="2"/>
    </font>
    <font>
      <b val="true"/>
      <sz val="10"/>
      <color rgb="FFFFFFFF"/>
      <name val="Calibri"/>
      <family val="0"/>
      <charset val="1"/>
    </font>
    <font>
      <b val="true"/>
      <sz val="18"/>
      <color rgb="FF1A1A1A"/>
      <name val="Calibri"/>
      <family val="0"/>
      <charset val="1"/>
    </font>
    <font>
      <b val="true"/>
      <sz val="10"/>
      <color rgb="FF1F2A44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b val="true"/>
      <sz val="11"/>
      <color rgb="FF0000FF"/>
      <name val="Calibri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2A44"/>
        <bgColor rgb="FF1A1A1A"/>
      </patternFill>
    </fill>
    <fill>
      <patternFill patternType="solid">
        <fgColor rgb="FF33415C"/>
        <bgColor rgb="FF1F2A44"/>
      </patternFill>
    </fill>
    <fill>
      <patternFill patternType="solid">
        <fgColor rgb="FFC8E6C9"/>
        <bgColor rgb="FFD9D9D9"/>
      </patternFill>
    </fill>
    <fill>
      <patternFill patternType="solid">
        <fgColor rgb="FFFFCDD2"/>
        <bgColor rgb="FFFFE0B2"/>
      </patternFill>
    </fill>
    <fill>
      <patternFill patternType="solid">
        <fgColor rgb="FFFFE0B2"/>
        <bgColor rgb="FFFFCDD2"/>
      </patternFill>
    </fill>
    <fill>
      <patternFill patternType="solid">
        <fgColor rgb="FFE0E0E0"/>
        <bgColor rgb="FFD9D9D9"/>
      </patternFill>
    </fill>
    <fill>
      <patternFill patternType="solid">
        <fgColor rgb="FFEEF1F6"/>
        <bgColor rgb="FFF4F6FA"/>
      </patternFill>
    </fill>
    <fill>
      <patternFill patternType="solid">
        <fgColor rgb="FFF4F6FA"/>
        <bgColor rgb="FFEEF1F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5CBD6"/>
      </left>
      <right style="thin">
        <color rgb="FFC5CBD6"/>
      </right>
      <top style="thin">
        <color rgb="FFC5CBD6"/>
      </top>
      <bottom style="thin">
        <color rgb="FFC5CBD6"/>
      </bottom>
      <diagonal/>
    </border>
    <border diagonalUp="false" diagonalDown="false">
      <left style="thin">
        <color rgb="FFC5CBD6"/>
      </left>
      <right/>
      <top style="thin">
        <color rgb="FFC5CBD6"/>
      </top>
      <bottom style="thin">
        <color rgb="FFC5CBD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3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3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4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24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24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4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2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2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ont>
        <name val="Calibri"/>
        <charset val="1"/>
        <family val="0"/>
        <b val="1"/>
        <color rgb="FFFFFFFF"/>
        <sz val="36"/>
      </font>
      <fill>
        <patternFill>
          <bgColor rgb="FF2E7D32"/>
        </patternFill>
      </fill>
    </dxf>
    <dxf>
      <font>
        <name val="Calibri"/>
        <charset val="1"/>
        <family val="0"/>
        <b val="1"/>
        <color rgb="FFFFFFFF"/>
        <sz val="36"/>
      </font>
      <fill>
        <patternFill>
          <bgColor rgb="FFC62828"/>
        </patternFill>
      </fill>
    </dxf>
    <dxf>
      <fill>
        <patternFill>
          <bgColor rgb="FFC8E6C9"/>
        </patternFill>
      </fill>
    </dxf>
    <dxf>
      <fill>
        <patternFill>
          <bgColor rgb="FFFFCDD2"/>
        </patternFill>
      </fill>
    </dxf>
    <dxf>
      <font>
        <name val="Calibri"/>
        <charset val="1"/>
        <family val="0"/>
        <b val="1"/>
        <color rgb="FF2E7D32"/>
      </font>
      <fill>
        <patternFill>
          <bgColor rgb="FFC8E6C9"/>
        </patternFill>
      </fill>
    </dxf>
    <dxf>
      <font>
        <name val="Calibri"/>
        <charset val="1"/>
        <family val="0"/>
        <b val="1"/>
        <color rgb="FFC62828"/>
      </font>
      <fill>
        <patternFill>
          <bgColor rgb="FFFFCDD2"/>
        </patternFill>
      </fill>
    </dxf>
    <dxf>
      <font>
        <name val="Calibri"/>
        <charset val="1"/>
        <family val="0"/>
        <b val="1"/>
        <color rgb="FFE65100"/>
      </font>
      <fill>
        <patternFill>
          <bgColor rgb="FFFFE0B2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E5A9C"/>
      <rgbColor rgb="FFC5CBD6"/>
      <rgbColor rgb="FF878787"/>
      <rgbColor rgb="FF9999FF"/>
      <rgbColor rgb="FF993366"/>
      <rgbColor rgb="FFF4F6FA"/>
      <rgbColor rgb="FFEEF1F6"/>
      <rgbColor rgb="FF660066"/>
      <rgbColor rgb="FFFF8080"/>
      <rgbColor rgb="FF1155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0E0E0"/>
      <rgbColor rgb="FFC8E6C9"/>
      <rgbColor rgb="FFFFFF99"/>
      <rgbColor rgb="FF99CCFF"/>
      <rgbColor rgb="FFFFCDD2"/>
      <rgbColor rgb="FFCC99FF"/>
      <rgbColor rgb="FFFFE0B2"/>
      <rgbColor rgb="FF4F81BD"/>
      <rgbColor rgb="FF33CCCC"/>
      <rgbColor rgb="FF99CC00"/>
      <rgbColor rgb="FFFFCC00"/>
      <rgbColor rgb="FFFF9900"/>
      <rgbColor rgb="FFE65100"/>
      <rgbColor rgb="FF4A7EBB"/>
      <rgbColor rgb="FF9E9E9E"/>
      <rgbColor rgb="FF003366"/>
      <rgbColor rgb="FF2E7D32"/>
      <rgbColor rgb="FF003300"/>
      <rgbColor rgb="FF1A1A1A"/>
      <rgbColor rgb="FFC62828"/>
      <rgbColor rgb="FF993366"/>
      <rgbColor rgb="FF33415C"/>
      <rgbColor rgb="FF1F2A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Recent trade P&amp;L (pips)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Trader_Dashboard!G12</c:f>
              <c:strCache>
                <c:ptCount val="1"/>
                <c:pt idx="0">
                  <c:v>P&amp;L (pips)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Trader_Dashboard!$A$13:$A$22</c:f>
              <c:strCache>
                <c:ptCount val="10"/>
                <c:pt idx="0">
                  <c:v>2026-04-15</c:v>
                </c:pt>
                <c:pt idx="1">
                  <c:v>2026-04-16</c:v>
                </c:pt>
                <c:pt idx="2">
                  <c:v>2026-04-17</c:v>
                </c:pt>
                <c:pt idx="3">
                  <c:v>2026-04-18</c:v>
                </c:pt>
                <c:pt idx="4">
                  <c:v>2026-04-19</c:v>
                </c:pt>
                <c:pt idx="5">
                  <c:v>2026-04-21</c:v>
                </c:pt>
                <c:pt idx="6">
                  <c:v>2026-04-22</c:v>
                </c:pt>
                <c:pt idx="7">
                  <c:v>2026-04-24</c:v>
                </c:pt>
                <c:pt idx="8">
                  <c:v>2026-04-26</c:v>
                </c:pt>
                <c:pt idx="9">
                  <c:v>2026-04-28</c:v>
                </c:pt>
              </c:strCache>
            </c:strRef>
          </c:cat>
          <c:val>
            <c:numRef>
              <c:f>Trader_Dashboard!$G$13:$G$22</c:f>
              <c:numCache>
                <c:formatCode>0.0</c:formatCode>
                <c:ptCount val="10"/>
                <c:pt idx="0">
                  <c:v>44.2</c:v>
                </c:pt>
                <c:pt idx="1">
                  <c:v>-18.9</c:v>
                </c:pt>
                <c:pt idx="2">
                  <c:v>46</c:v>
                </c:pt>
                <c:pt idx="3">
                  <c:v>-18</c:v>
                </c:pt>
                <c:pt idx="4">
                  <c:v>37.8</c:v>
                </c:pt>
                <c:pt idx="5">
                  <c:v>17.7</c:v>
                </c:pt>
                <c:pt idx="6">
                  <c:v>56.1</c:v>
                </c:pt>
                <c:pt idx="7">
                  <c:v>-24.8</c:v>
                </c:pt>
                <c:pt idx="8">
                  <c:v>74.1</c:v>
                </c:pt>
                <c:pt idx="9">
                  <c:v>33.4</c:v>
                </c:pt>
              </c:numCache>
            </c:numRef>
          </c:val>
        </c:ser>
        <c:gapWidth val="150"/>
        <c:overlap val="0"/>
        <c:axId val="56958586"/>
        <c:axId val="1417097"/>
      </c:barChart>
      <c:catAx>
        <c:axId val="5695858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417097"/>
        <c:crosses val="autoZero"/>
        <c:auto val="1"/>
        <c:lblAlgn val="ctr"/>
        <c:lblOffset val="100"/>
        <c:noMultiLvlLbl val="0"/>
      </c:catAx>
      <c:valAx>
        <c:axId val="141709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695858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Cumulative equity curve (pips)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Trade_History!M1</c:f>
              <c:strCache>
                <c:ptCount val="1"/>
                <c:pt idx="0">
                  <c:v>Cumulative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Trade_History!$M$2:$M$38</c:f>
              <c:numCache>
                <c:formatCode>0.0</c:formatCode>
                <c:ptCount val="37"/>
                <c:pt idx="0">
                  <c:v>-19.7</c:v>
                </c:pt>
                <c:pt idx="1">
                  <c:v>-44.5</c:v>
                </c:pt>
                <c:pt idx="2">
                  <c:v>12.8</c:v>
                </c:pt>
                <c:pt idx="3">
                  <c:v>-7.9</c:v>
                </c:pt>
                <c:pt idx="4">
                  <c:v>28.1</c:v>
                </c:pt>
                <c:pt idx="5">
                  <c:v>76.5</c:v>
                </c:pt>
                <c:pt idx="6">
                  <c:v>98.9</c:v>
                </c:pt>
                <c:pt idx="7">
                  <c:v>143.5</c:v>
                </c:pt>
                <c:pt idx="8">
                  <c:v>162.1</c:v>
                </c:pt>
                <c:pt idx="9">
                  <c:v>179.5</c:v>
                </c:pt>
                <c:pt idx="10">
                  <c:v>156.9</c:v>
                </c:pt>
                <c:pt idx="11">
                  <c:v>136.5</c:v>
                </c:pt>
                <c:pt idx="12">
                  <c:v>171.3</c:v>
                </c:pt>
                <c:pt idx="13">
                  <c:v>189.1</c:v>
                </c:pt>
                <c:pt idx="14">
                  <c:v>224.3</c:v>
                </c:pt>
                <c:pt idx="15">
                  <c:v>204.1</c:v>
                </c:pt>
                <c:pt idx="16">
                  <c:v>272.2</c:v>
                </c:pt>
                <c:pt idx="17">
                  <c:v>246.7</c:v>
                </c:pt>
                <c:pt idx="18">
                  <c:v>222.4</c:v>
                </c:pt>
                <c:pt idx="19">
                  <c:v>200.7</c:v>
                </c:pt>
                <c:pt idx="20">
                  <c:v>184.5</c:v>
                </c:pt>
                <c:pt idx="21">
                  <c:v>223.3</c:v>
                </c:pt>
                <c:pt idx="22">
                  <c:v>202.8</c:v>
                </c:pt>
                <c:pt idx="23">
                  <c:v>262.8</c:v>
                </c:pt>
                <c:pt idx="24">
                  <c:v>238.8</c:v>
                </c:pt>
                <c:pt idx="25">
                  <c:v>261.8</c:v>
                </c:pt>
                <c:pt idx="26">
                  <c:v>245.4</c:v>
                </c:pt>
                <c:pt idx="27">
                  <c:v>289.6</c:v>
                </c:pt>
                <c:pt idx="28">
                  <c:v>270.7</c:v>
                </c:pt>
                <c:pt idx="29">
                  <c:v>316.7</c:v>
                </c:pt>
                <c:pt idx="30">
                  <c:v>298.7</c:v>
                </c:pt>
                <c:pt idx="31">
                  <c:v>336.5</c:v>
                </c:pt>
                <c:pt idx="32">
                  <c:v>354.2</c:v>
                </c:pt>
                <c:pt idx="33">
                  <c:v>410.3</c:v>
                </c:pt>
                <c:pt idx="34">
                  <c:v>385.5</c:v>
                </c:pt>
                <c:pt idx="35">
                  <c:v>459.6</c:v>
                </c:pt>
                <c:pt idx="36">
                  <c:v>493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4558411"/>
        <c:axId val="5969074"/>
      </c:lineChart>
      <c:catAx>
        <c:axId val="4455841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969074"/>
        <c:crosses val="autoZero"/>
        <c:auto val="1"/>
        <c:lblAlgn val="ctr"/>
        <c:lblOffset val="100"/>
        <c:noMultiLvlLbl val="0"/>
      </c:catAx>
      <c:valAx>
        <c:axId val="596907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455841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Displacement ratio vs P&amp;L (pips)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"Trades"</c:f>
              <c:strCache>
                <c:ptCount val="1"/>
                <c:pt idx="0">
                  <c:v>Trades</c:v>
                </c:pt>
              </c:strCache>
            </c:strRef>
          </c:tx>
          <c:spPr>
            <a:solidFill>
              <a:srgbClr val="2e5a9c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2e5a9c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Trade_History!$J$2:$J$38</c:f>
              <c:numCache>
                <c:formatCode>General</c:formatCode>
                <c:ptCount val="37"/>
                <c:pt idx="0">
                  <c:v>2.17</c:v>
                </c:pt>
                <c:pt idx="1">
                  <c:v>1.9</c:v>
                </c:pt>
                <c:pt idx="2">
                  <c:v>2.8</c:v>
                </c:pt>
                <c:pt idx="3">
                  <c:v>2.74</c:v>
                </c:pt>
                <c:pt idx="4">
                  <c:v>2.32</c:v>
                </c:pt>
                <c:pt idx="5">
                  <c:v>2.6</c:v>
                </c:pt>
                <c:pt idx="6">
                  <c:v>1.87</c:v>
                </c:pt>
                <c:pt idx="7">
                  <c:v>2.29</c:v>
                </c:pt>
                <c:pt idx="8">
                  <c:v>1.96</c:v>
                </c:pt>
                <c:pt idx="9">
                  <c:v>1.79</c:v>
                </c:pt>
                <c:pt idx="10">
                  <c:v>2.88</c:v>
                </c:pt>
                <c:pt idx="11">
                  <c:v>1.89</c:v>
                </c:pt>
                <c:pt idx="12">
                  <c:v>2.46</c:v>
                </c:pt>
                <c:pt idx="13">
                  <c:v>1.54</c:v>
                </c:pt>
                <c:pt idx="14">
                  <c:v>2.19</c:v>
                </c:pt>
                <c:pt idx="15">
                  <c:v>2.11</c:v>
                </c:pt>
                <c:pt idx="16">
                  <c:v>2.84</c:v>
                </c:pt>
                <c:pt idx="17">
                  <c:v>1.82</c:v>
                </c:pt>
                <c:pt idx="18">
                  <c:v>1.55</c:v>
                </c:pt>
                <c:pt idx="19">
                  <c:v>2.52</c:v>
                </c:pt>
                <c:pt idx="20">
                  <c:v>2.27</c:v>
                </c:pt>
                <c:pt idx="21">
                  <c:v>2.63</c:v>
                </c:pt>
                <c:pt idx="22">
                  <c:v>1.96</c:v>
                </c:pt>
                <c:pt idx="23">
                  <c:v>2.78</c:v>
                </c:pt>
                <c:pt idx="24">
                  <c:v>1.71</c:v>
                </c:pt>
                <c:pt idx="25">
                  <c:v>1.9</c:v>
                </c:pt>
                <c:pt idx="26">
                  <c:v>2.27</c:v>
                </c:pt>
                <c:pt idx="27">
                  <c:v>2.65</c:v>
                </c:pt>
                <c:pt idx="28">
                  <c:v>2.79</c:v>
                </c:pt>
                <c:pt idx="29">
                  <c:v>2.59</c:v>
                </c:pt>
                <c:pt idx="30">
                  <c:v>2.57</c:v>
                </c:pt>
                <c:pt idx="31">
                  <c:v>2.17</c:v>
                </c:pt>
                <c:pt idx="32">
                  <c:v>1.91</c:v>
                </c:pt>
                <c:pt idx="33">
                  <c:v>2.88</c:v>
                </c:pt>
                <c:pt idx="34">
                  <c:v>1.69</c:v>
                </c:pt>
                <c:pt idx="35">
                  <c:v>2.8</c:v>
                </c:pt>
                <c:pt idx="36">
                  <c:v>2.64</c:v>
                </c:pt>
              </c:numCache>
            </c:numRef>
          </c:xVal>
          <c:yVal>
            <c:numRef>
              <c:f>Trade_History!$L$2:$L$38</c:f>
              <c:numCache>
                <c:formatCode>0.0</c:formatCode>
                <c:ptCount val="37"/>
                <c:pt idx="0">
                  <c:v>-19.7</c:v>
                </c:pt>
                <c:pt idx="1">
                  <c:v>-24.8</c:v>
                </c:pt>
                <c:pt idx="2">
                  <c:v>57.3</c:v>
                </c:pt>
                <c:pt idx="3">
                  <c:v>-20.7</c:v>
                </c:pt>
                <c:pt idx="4">
                  <c:v>36</c:v>
                </c:pt>
                <c:pt idx="5">
                  <c:v>48.4</c:v>
                </c:pt>
                <c:pt idx="6">
                  <c:v>22.4</c:v>
                </c:pt>
                <c:pt idx="7">
                  <c:v>44.6</c:v>
                </c:pt>
                <c:pt idx="8">
                  <c:v>18.6</c:v>
                </c:pt>
                <c:pt idx="9">
                  <c:v>17.4</c:v>
                </c:pt>
                <c:pt idx="10">
                  <c:v>-22.6</c:v>
                </c:pt>
                <c:pt idx="11">
                  <c:v>-20.4</c:v>
                </c:pt>
                <c:pt idx="12">
                  <c:v>34.8</c:v>
                </c:pt>
                <c:pt idx="13">
                  <c:v>17.8</c:v>
                </c:pt>
                <c:pt idx="14">
                  <c:v>35.2</c:v>
                </c:pt>
                <c:pt idx="15">
                  <c:v>-20.2</c:v>
                </c:pt>
                <c:pt idx="16">
                  <c:v>68.1</c:v>
                </c:pt>
                <c:pt idx="17">
                  <c:v>-25.5</c:v>
                </c:pt>
                <c:pt idx="18">
                  <c:v>-24.3</c:v>
                </c:pt>
                <c:pt idx="19">
                  <c:v>-21.7</c:v>
                </c:pt>
                <c:pt idx="20">
                  <c:v>-16.2</c:v>
                </c:pt>
                <c:pt idx="21">
                  <c:v>38.8</c:v>
                </c:pt>
                <c:pt idx="22">
                  <c:v>-20.5</c:v>
                </c:pt>
                <c:pt idx="23">
                  <c:v>60</c:v>
                </c:pt>
                <c:pt idx="24">
                  <c:v>-24</c:v>
                </c:pt>
                <c:pt idx="25">
                  <c:v>23</c:v>
                </c:pt>
                <c:pt idx="26">
                  <c:v>-16.4</c:v>
                </c:pt>
                <c:pt idx="27">
                  <c:v>44.2</c:v>
                </c:pt>
                <c:pt idx="28">
                  <c:v>-18.9</c:v>
                </c:pt>
                <c:pt idx="29">
                  <c:v>46</c:v>
                </c:pt>
                <c:pt idx="30">
                  <c:v>-18</c:v>
                </c:pt>
                <c:pt idx="31">
                  <c:v>37.8</c:v>
                </c:pt>
                <c:pt idx="32">
                  <c:v>17.7</c:v>
                </c:pt>
                <c:pt idx="33">
                  <c:v>56.1</c:v>
                </c:pt>
                <c:pt idx="34">
                  <c:v>-24.8</c:v>
                </c:pt>
                <c:pt idx="35">
                  <c:v>74.1</c:v>
                </c:pt>
                <c:pt idx="36">
                  <c:v>33.4</c:v>
                </c:pt>
              </c:numCache>
            </c:numRef>
          </c:yVal>
          <c:smooth val="1"/>
        </c:ser>
        <c:axId val="28564088"/>
        <c:axId val="26486015"/>
      </c:scatterChart>
      <c:valAx>
        <c:axId val="28564088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Displacement ratio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6486015"/>
        <c:crosses val="autoZero"/>
        <c:crossBetween val="midCat"/>
      </c:valAx>
      <c:valAx>
        <c:axId val="2648601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P&amp;L (pips)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8564088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Cumulative return (pips)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Trade_History!M1</c:f>
              <c:strCache>
                <c:ptCount val="1"/>
                <c:pt idx="0">
                  <c:v>Cumulative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Trade_History!$M$2:$M$38</c:f>
              <c:numCache>
                <c:formatCode>0.0</c:formatCode>
                <c:ptCount val="37"/>
                <c:pt idx="0">
                  <c:v>-19.7</c:v>
                </c:pt>
                <c:pt idx="1">
                  <c:v>-44.5</c:v>
                </c:pt>
                <c:pt idx="2">
                  <c:v>12.8</c:v>
                </c:pt>
                <c:pt idx="3">
                  <c:v>-7.9</c:v>
                </c:pt>
                <c:pt idx="4">
                  <c:v>28.1</c:v>
                </c:pt>
                <c:pt idx="5">
                  <c:v>76.5</c:v>
                </c:pt>
                <c:pt idx="6">
                  <c:v>98.9</c:v>
                </c:pt>
                <c:pt idx="7">
                  <c:v>143.5</c:v>
                </c:pt>
                <c:pt idx="8">
                  <c:v>162.1</c:v>
                </c:pt>
                <c:pt idx="9">
                  <c:v>179.5</c:v>
                </c:pt>
                <c:pt idx="10">
                  <c:v>156.9</c:v>
                </c:pt>
                <c:pt idx="11">
                  <c:v>136.5</c:v>
                </c:pt>
                <c:pt idx="12">
                  <c:v>171.3</c:v>
                </c:pt>
                <c:pt idx="13">
                  <c:v>189.1</c:v>
                </c:pt>
                <c:pt idx="14">
                  <c:v>224.3</c:v>
                </c:pt>
                <c:pt idx="15">
                  <c:v>204.1</c:v>
                </c:pt>
                <c:pt idx="16">
                  <c:v>272.2</c:v>
                </c:pt>
                <c:pt idx="17">
                  <c:v>246.7</c:v>
                </c:pt>
                <c:pt idx="18">
                  <c:v>222.4</c:v>
                </c:pt>
                <c:pt idx="19">
                  <c:v>200.7</c:v>
                </c:pt>
                <c:pt idx="20">
                  <c:v>184.5</c:v>
                </c:pt>
                <c:pt idx="21">
                  <c:v>223.3</c:v>
                </c:pt>
                <c:pt idx="22">
                  <c:v>202.8</c:v>
                </c:pt>
                <c:pt idx="23">
                  <c:v>262.8</c:v>
                </c:pt>
                <c:pt idx="24">
                  <c:v>238.8</c:v>
                </c:pt>
                <c:pt idx="25">
                  <c:v>261.8</c:v>
                </c:pt>
                <c:pt idx="26">
                  <c:v>245.4</c:v>
                </c:pt>
                <c:pt idx="27">
                  <c:v>289.6</c:v>
                </c:pt>
                <c:pt idx="28">
                  <c:v>270.7</c:v>
                </c:pt>
                <c:pt idx="29">
                  <c:v>316.7</c:v>
                </c:pt>
                <c:pt idx="30">
                  <c:v>298.7</c:v>
                </c:pt>
                <c:pt idx="31">
                  <c:v>336.5</c:v>
                </c:pt>
                <c:pt idx="32">
                  <c:v>354.2</c:v>
                </c:pt>
                <c:pt idx="33">
                  <c:v>410.3</c:v>
                </c:pt>
                <c:pt idx="34">
                  <c:v>385.5</c:v>
                </c:pt>
                <c:pt idx="35">
                  <c:v>459.6</c:v>
                </c:pt>
                <c:pt idx="36">
                  <c:v>493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6873539"/>
        <c:axId val="44590038"/>
      </c:lineChart>
      <c:catAx>
        <c:axId val="4687353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4590038"/>
        <c:crosses val="autoZero"/>
        <c:auto val="1"/>
        <c:lblAlgn val="ctr"/>
        <c:lblOffset val="100"/>
        <c:noMultiLvlLbl val="0"/>
      </c:catAx>
      <c:valAx>
        <c:axId val="4459003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687353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Net return by pair (pips)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Institutional_Dashboard!D13</c:f>
              <c:strCache>
                <c:ptCount val="1"/>
                <c:pt idx="0">
                  <c:v>Net (pips)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Institutional_Dashboard!$A$14:$A$16</c:f>
              <c:strCache>
                <c:ptCount val="3"/>
                <c:pt idx="0">
                  <c:v>EUR/USD</c:v>
                </c:pt>
                <c:pt idx="1">
                  <c:v>GBP/USD</c:v>
                </c:pt>
                <c:pt idx="2">
                  <c:v>USD/JPY</c:v>
                </c:pt>
              </c:strCache>
            </c:strRef>
          </c:cat>
          <c:val>
            <c:numRef>
              <c:f>Institutional_Dashboard!$D$14:$D$16</c:f>
              <c:numCache>
                <c:formatCode>0.0</c:formatCode>
                <c:ptCount val="3"/>
                <c:pt idx="0">
                  <c:v>108.1</c:v>
                </c:pt>
                <c:pt idx="1">
                  <c:v>233.6</c:v>
                </c:pt>
                <c:pt idx="2">
                  <c:v>151.3</c:v>
                </c:pt>
              </c:numCache>
            </c:numRef>
          </c:val>
        </c:ser>
        <c:gapWidth val="150"/>
        <c:overlap val="0"/>
        <c:axId val="1220891"/>
        <c:axId val="24048044"/>
      </c:barChart>
      <c:catAx>
        <c:axId val="122089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4048044"/>
        <c:crosses val="autoZero"/>
        <c:auto val="1"/>
        <c:lblAlgn val="ctr"/>
        <c:lblOffset val="100"/>
        <c:noMultiLvlLbl val="0"/>
      </c:catAx>
      <c:valAx>
        <c:axId val="2404804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22089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Error count per cycle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Operational_Dashboard!B11</c:f>
              <c:strCache>
                <c:ptCount val="1"/>
                <c:pt idx="0">
                  <c:v>Errors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Operational_Dashboard!$A$12:$A$21</c:f>
              <c:strCache>
                <c:ptCount val="10"/>
                <c:pt idx="0">
                  <c:v>Cycle 1</c:v>
                </c:pt>
                <c:pt idx="1">
                  <c:v>Cycle 2</c:v>
                </c:pt>
                <c:pt idx="2">
                  <c:v>Cycle 3</c:v>
                </c:pt>
                <c:pt idx="3">
                  <c:v>Cycle 4</c:v>
                </c:pt>
                <c:pt idx="4">
                  <c:v>Cycle 5</c:v>
                </c:pt>
                <c:pt idx="5">
                  <c:v>Cycle 6</c:v>
                </c:pt>
                <c:pt idx="6">
                  <c:v>Cycle 7</c:v>
                </c:pt>
                <c:pt idx="7">
                  <c:v>Cycle 8</c:v>
                </c:pt>
                <c:pt idx="8">
                  <c:v>Cycle 9</c:v>
                </c:pt>
                <c:pt idx="9">
                  <c:v>Cycle 10</c:v>
                </c:pt>
              </c:strCache>
            </c:strRef>
          </c:cat>
          <c:val>
            <c:numRef>
              <c:f>Operational_Dashboard!$B$12:$B$21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82331808"/>
        <c:axId val="25649084"/>
      </c:lineChart>
      <c:catAx>
        <c:axId val="8233180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5649084"/>
        <c:crosses val="autoZero"/>
        <c:auto val="1"/>
        <c:lblAlgn val="ctr"/>
        <c:lblOffset val="100"/>
        <c:noMultiLvlLbl val="0"/>
      </c:catAx>
      <c:valAx>
        <c:axId val="2564908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233180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23</xdr:row>
      <xdr:rowOff>0</xdr:rowOff>
    </xdr:from>
    <xdr:to>
      <xdr:col>6</xdr:col>
      <xdr:colOff>301320</xdr:colOff>
      <xdr:row>35</xdr:row>
      <xdr:rowOff>52920</xdr:rowOff>
    </xdr:to>
    <xdr:graphicFrame>
      <xdr:nvGraphicFramePr>
        <xdr:cNvPr id="0" name="Chart 1"/>
        <xdr:cNvGraphicFramePr/>
      </xdr:nvGraphicFramePr>
      <xdr:xfrm>
        <a:off x="0" y="4610160"/>
        <a:ext cx="4318920" cy="233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23</xdr:row>
      <xdr:rowOff>0</xdr:rowOff>
    </xdr:from>
    <xdr:to>
      <xdr:col>14</xdr:col>
      <xdr:colOff>38520</xdr:colOff>
      <xdr:row>35</xdr:row>
      <xdr:rowOff>52920</xdr:rowOff>
    </xdr:to>
    <xdr:graphicFrame>
      <xdr:nvGraphicFramePr>
        <xdr:cNvPr id="1" name="Chart 2"/>
        <xdr:cNvGraphicFramePr/>
      </xdr:nvGraphicFramePr>
      <xdr:xfrm>
        <a:off x="4793040" y="4610160"/>
        <a:ext cx="4318920" cy="233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12</xdr:row>
      <xdr:rowOff>108720</xdr:rowOff>
    </xdr:from>
    <xdr:to>
      <xdr:col>4</xdr:col>
      <xdr:colOff>1381320</xdr:colOff>
      <xdr:row>27</xdr:row>
      <xdr:rowOff>36720</xdr:rowOff>
    </xdr:to>
    <xdr:graphicFrame>
      <xdr:nvGraphicFramePr>
        <xdr:cNvPr id="2" name="Chart 1"/>
        <xdr:cNvGraphicFramePr/>
      </xdr:nvGraphicFramePr>
      <xdr:xfrm>
        <a:off x="0" y="3223440"/>
        <a:ext cx="5398920" cy="28713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17</xdr:row>
      <xdr:rowOff>11520</xdr:rowOff>
    </xdr:from>
    <xdr:to>
      <xdr:col>7</xdr:col>
      <xdr:colOff>387000</xdr:colOff>
      <xdr:row>30</xdr:row>
      <xdr:rowOff>54000</xdr:rowOff>
    </xdr:to>
    <xdr:graphicFrame>
      <xdr:nvGraphicFramePr>
        <xdr:cNvPr id="3" name="Chart 1"/>
        <xdr:cNvGraphicFramePr/>
      </xdr:nvGraphicFramePr>
      <xdr:xfrm>
        <a:off x="0" y="3650040"/>
        <a:ext cx="5038920" cy="251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17</xdr:row>
      <xdr:rowOff>11520</xdr:rowOff>
    </xdr:from>
    <xdr:to>
      <xdr:col>13</xdr:col>
      <xdr:colOff>415440</xdr:colOff>
      <xdr:row>30</xdr:row>
      <xdr:rowOff>54000</xdr:rowOff>
    </xdr:to>
    <xdr:graphicFrame>
      <xdr:nvGraphicFramePr>
        <xdr:cNvPr id="4" name="Chart 2"/>
        <xdr:cNvGraphicFramePr/>
      </xdr:nvGraphicFramePr>
      <xdr:xfrm>
        <a:off x="4651920" y="3650040"/>
        <a:ext cx="4318920" cy="251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10</xdr:row>
      <xdr:rowOff>0</xdr:rowOff>
    </xdr:from>
    <xdr:to>
      <xdr:col>9</xdr:col>
      <xdr:colOff>541440</xdr:colOff>
      <xdr:row>21</xdr:row>
      <xdr:rowOff>63360</xdr:rowOff>
    </xdr:to>
    <xdr:graphicFrame>
      <xdr:nvGraphicFramePr>
        <xdr:cNvPr id="5" name="Chart 1"/>
        <xdr:cNvGraphicFramePr/>
      </xdr:nvGraphicFramePr>
      <xdr:xfrm>
        <a:off x="5709240" y="2133720"/>
        <a:ext cx="3598920" cy="215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6" min="2" style="1" width="14"/>
  </cols>
  <sheetData>
    <row r="1" customFormat="false" ht="30" hidden="false" customHeight="true" outlineLevel="0" collapsed="false">
      <c r="A1" s="2" t="s">
        <v>0</v>
      </c>
      <c r="B1" s="2"/>
      <c r="C1" s="2"/>
      <c r="D1" s="2"/>
      <c r="E1" s="2"/>
      <c r="F1" s="2"/>
    </row>
    <row r="2" customFormat="false" ht="18" hidden="false" customHeight="true" outlineLevel="0" collapsed="false">
      <c r="A2" s="3" t="s">
        <v>1</v>
      </c>
      <c r="B2" s="3"/>
      <c r="C2" s="3"/>
      <c r="D2" s="3"/>
      <c r="E2" s="3"/>
      <c r="F2" s="3"/>
    </row>
    <row r="4" customFormat="false" ht="15.75" hidden="false" customHeight="true" outlineLevel="0" collapsed="false">
      <c r="A4" s="4" t="s">
        <v>2</v>
      </c>
    </row>
    <row r="6" customFormat="false" ht="15" hidden="false" customHeight="true" outlineLevel="0" collapsed="false">
      <c r="A6" s="5" t="str">
        <f aca="false">HYPERLINK("#Trader_Dashboard!A1","Trader Dashboard")</f>
        <v>Trader Dashboard</v>
      </c>
      <c r="B6" s="6" t="s">
        <v>3</v>
      </c>
      <c r="C6" s="6"/>
      <c r="D6" s="6"/>
      <c r="E6" s="6"/>
      <c r="F6" s="6"/>
    </row>
    <row r="7" customFormat="false" ht="15" hidden="false" customHeight="true" outlineLevel="0" collapsed="false">
      <c r="A7" s="5" t="str">
        <f aca="false">HYPERLINK("#Coach_Dashboard!A1","Coach Dashboard")</f>
        <v>Coach Dashboard</v>
      </c>
      <c r="B7" s="6" t="s">
        <v>4</v>
      </c>
      <c r="C7" s="6"/>
      <c r="D7" s="6"/>
      <c r="E7" s="6"/>
      <c r="F7" s="6"/>
    </row>
    <row r="8" customFormat="false" ht="15" hidden="false" customHeight="true" outlineLevel="0" collapsed="false">
      <c r="A8" s="5" t="str">
        <f aca="false">HYPERLINK("#Institutional_Dashboard!A1","Institutional Dashboard")</f>
        <v>Institutional Dashboard</v>
      </c>
      <c r="B8" s="6" t="s">
        <v>5</v>
      </c>
      <c r="C8" s="6"/>
      <c r="D8" s="6"/>
      <c r="E8" s="6"/>
      <c r="F8" s="6"/>
    </row>
    <row r="9" customFormat="false" ht="15" hidden="false" customHeight="true" outlineLevel="0" collapsed="false">
      <c r="A9" s="5" t="str">
        <f aca="false">HYPERLINK("#Operational_Dashboard!A1","Operational Dashboard")</f>
        <v>Operational Dashboard</v>
      </c>
      <c r="B9" s="6" t="s">
        <v>6</v>
      </c>
      <c r="C9" s="6"/>
      <c r="D9" s="6"/>
      <c r="E9" s="6"/>
      <c r="F9" s="6"/>
    </row>
    <row r="10" customFormat="false" ht="15" hidden="false" customHeight="true" outlineLevel="0" collapsed="false">
      <c r="A10" s="5" t="str">
        <f aca="false">HYPERLINK("#Input!A1","Input (new bar entry)")</f>
        <v>Input (new bar entry)</v>
      </c>
      <c r="B10" s="6" t="s">
        <v>7</v>
      </c>
      <c r="C10" s="6"/>
      <c r="D10" s="6"/>
      <c r="E10" s="6"/>
      <c r="F10" s="6"/>
    </row>
    <row r="11" customFormat="false" ht="15" hidden="false" customHeight="true" outlineLevel="0" collapsed="false">
      <c r="A11" s="5" t="str">
        <f aca="false">HYPERLINK("#Logic!A1","Logic (evaluation engine)")</f>
        <v>Logic (evaluation engine)</v>
      </c>
      <c r="B11" s="6" t="s">
        <v>8</v>
      </c>
      <c r="C11" s="6"/>
      <c r="D11" s="6"/>
      <c r="E11" s="6"/>
      <c r="F11" s="6"/>
    </row>
    <row r="12" customFormat="false" ht="15" hidden="false" customHeight="true" outlineLevel="0" collapsed="false">
      <c r="A12" s="5" t="str">
        <f aca="false">HYPERLINK("#Calculation_Breakdown!A1","Calculation Breakdown")</f>
        <v>Calculation Breakdown</v>
      </c>
      <c r="B12" s="6" t="s">
        <v>9</v>
      </c>
      <c r="C12" s="6"/>
      <c r="D12" s="6"/>
      <c r="E12" s="6"/>
      <c r="F12" s="6"/>
    </row>
    <row r="13" customFormat="false" ht="15" hidden="false" customHeight="true" outlineLevel="0" collapsed="false">
      <c r="A13" s="5" t="str">
        <f aca="false">HYPERLINK("#Trade_History!A1","Trade History")</f>
        <v>Trade History</v>
      </c>
      <c r="B13" s="6" t="s">
        <v>10</v>
      </c>
      <c r="C13" s="6"/>
      <c r="D13" s="6"/>
      <c r="E13" s="6"/>
      <c r="F13" s="6"/>
    </row>
    <row r="15" customFormat="false" ht="15" hidden="false" customHeight="true" outlineLevel="0" collapsed="false">
      <c r="A15" s="7" t="s">
        <v>11</v>
      </c>
    </row>
    <row r="16" customFormat="false" ht="15" hidden="false" customHeight="true" outlineLevel="0" collapsed="false">
      <c r="A16" s="8"/>
      <c r="B16" s="9" t="s">
        <v>12</v>
      </c>
    </row>
    <row r="17" customFormat="false" ht="15" hidden="false" customHeight="true" outlineLevel="0" collapsed="false">
      <c r="A17" s="10"/>
      <c r="B17" s="9" t="s">
        <v>13</v>
      </c>
    </row>
    <row r="18" customFormat="false" ht="15" hidden="false" customHeight="true" outlineLevel="0" collapsed="false">
      <c r="A18" s="11"/>
      <c r="B18" s="9" t="s">
        <v>14</v>
      </c>
    </row>
    <row r="19" customFormat="false" ht="15" hidden="false" customHeight="true" outlineLevel="0" collapsed="false">
      <c r="A19" s="12"/>
      <c r="B19" s="9" t="s">
        <v>15</v>
      </c>
    </row>
    <row r="21" customFormat="false" ht="15" hidden="false" customHeight="true" outlineLevel="0" collapsed="false">
      <c r="A21" s="13" t="s">
        <v>16</v>
      </c>
    </row>
  </sheetData>
  <mergeCells count="10">
    <mergeCell ref="A1:F1"/>
    <mergeCell ref="A2:F2"/>
    <mergeCell ref="B6:F6"/>
    <mergeCell ref="B7:F7"/>
    <mergeCell ref="B8:F8"/>
    <mergeCell ref="B9:F9"/>
    <mergeCell ref="B10:F10"/>
    <mergeCell ref="B11:F11"/>
    <mergeCell ref="B12:F12"/>
    <mergeCell ref="B13:F13"/>
  </mergeCells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9"/>
    <col collapsed="false" customWidth="true" hidden="false" outlineLevel="0" max="3" min="3" style="1" width="6"/>
    <col collapsed="false" customWidth="true" hidden="false" outlineLevel="0" max="4" min="4" style="1" width="7"/>
    <col collapsed="false" customWidth="true" hidden="false" outlineLevel="0" max="5" min="5" style="1" width="13"/>
    <col collapsed="false" customWidth="true" hidden="false" outlineLevel="0" max="7" min="6" style="1" width="11"/>
  </cols>
  <sheetData>
    <row r="1" customFormat="false" ht="30" hidden="false" customHeight="true" outlineLevel="0" collapsed="false">
      <c r="A1" s="2" t="s">
        <v>17</v>
      </c>
      <c r="B1" s="2"/>
      <c r="C1" s="2"/>
      <c r="D1" s="2"/>
      <c r="E1" s="2"/>
      <c r="F1" s="2"/>
      <c r="G1" s="2"/>
      <c r="H1" s="2"/>
    </row>
    <row r="2" customFormat="false" ht="18" hidden="false" customHeight="true" outlineLevel="0" collapsed="false">
      <c r="A2" s="3" t="s">
        <v>18</v>
      </c>
      <c r="B2" s="3"/>
      <c r="C2" s="3"/>
      <c r="D2" s="3"/>
      <c r="E2" s="3"/>
      <c r="F2" s="3"/>
      <c r="G2" s="3"/>
      <c r="H2" s="3"/>
    </row>
    <row r="4" customFormat="false" ht="15" hidden="false" customHeight="true" outlineLevel="0" collapsed="false">
      <c r="A4" s="14" t="str">
        <f aca="false">Logic!B31</f>
        <v>TAKE</v>
      </c>
      <c r="B4" s="14"/>
      <c r="C4" s="14"/>
      <c r="E4" s="15" t="s">
        <v>19</v>
      </c>
      <c r="F4" s="16" t="str">
        <f aca="false">Logic!B32</f>
        <v>BUY</v>
      </c>
    </row>
    <row r="5" customFormat="false" ht="15" hidden="false" customHeight="true" outlineLevel="0" collapsed="false">
      <c r="A5" s="14"/>
      <c r="B5" s="14"/>
      <c r="C5" s="14"/>
      <c r="E5" s="15" t="s">
        <v>20</v>
      </c>
      <c r="F5" s="17" t="n">
        <f aca="false">Logic!B17</f>
        <v>1</v>
      </c>
    </row>
    <row r="6" customFormat="false" ht="15" hidden="false" customHeight="true" outlineLevel="0" collapsed="false">
      <c r="A6" s="14"/>
      <c r="B6" s="14"/>
      <c r="C6" s="14"/>
      <c r="E6" s="15" t="s">
        <v>21</v>
      </c>
      <c r="F6" s="16" t="str">
        <f aca="false">Logic!B18&amp;":1"</f>
        <v>3:1</v>
      </c>
    </row>
    <row r="7" customFormat="false" ht="15" hidden="false" customHeight="true" outlineLevel="0" collapsed="false">
      <c r="E7" s="15" t="s">
        <v>22</v>
      </c>
      <c r="F7" s="18" t="n">
        <f aca="false">Logic!B33</f>
        <v>1.0847</v>
      </c>
    </row>
    <row r="8" customFormat="false" ht="15" hidden="false" customHeight="true" outlineLevel="0" collapsed="false">
      <c r="E8" s="15" t="s">
        <v>23</v>
      </c>
      <c r="F8" s="18" t="n">
        <f aca="false">Logic!B37</f>
        <v>1.07835485714286</v>
      </c>
    </row>
    <row r="9" customFormat="false" ht="15" hidden="false" customHeight="true" outlineLevel="0" collapsed="false">
      <c r="E9" s="15" t="s">
        <v>24</v>
      </c>
      <c r="F9" s="18" t="n">
        <f aca="false">Logic!B38</f>
        <v>1.09553857142857</v>
      </c>
    </row>
    <row r="11" customFormat="false" ht="15" hidden="false" customHeight="true" outlineLevel="0" collapsed="false">
      <c r="A11" s="19" t="s">
        <v>25</v>
      </c>
    </row>
    <row r="12" customFormat="false" ht="15" hidden="false" customHeight="true" outlineLevel="0" collapsed="false">
      <c r="A12" s="20" t="s">
        <v>26</v>
      </c>
      <c r="B12" s="20" t="s">
        <v>27</v>
      </c>
      <c r="C12" s="20" t="s">
        <v>28</v>
      </c>
      <c r="D12" s="20" t="s">
        <v>29</v>
      </c>
      <c r="E12" s="20" t="s">
        <v>30</v>
      </c>
      <c r="F12" s="20" t="s">
        <v>31</v>
      </c>
      <c r="G12" s="20" t="s">
        <v>32</v>
      </c>
    </row>
    <row r="13" customFormat="false" ht="15" hidden="false" customHeight="true" outlineLevel="0" collapsed="false">
      <c r="A13" s="21" t="str">
        <f aca="false">Trade_History!B29</f>
        <v>2026-04-15</v>
      </c>
      <c r="B13" s="21" t="str">
        <f aca="false">Trade_History!C29</f>
        <v>GBP/USD</v>
      </c>
      <c r="C13" s="21" t="str">
        <f aca="false">Trade_History!D29</f>
        <v>SELL</v>
      </c>
      <c r="D13" s="22" t="n">
        <f aca="false">Trade_History!I29</f>
        <v>0.82</v>
      </c>
      <c r="E13" s="21" t="str">
        <f aca="false">Trade_History!H29&amp;":1"</f>
        <v>2:1</v>
      </c>
      <c r="F13" s="21" t="str">
        <f aca="false">Trade_History!K29</f>
        <v>Win</v>
      </c>
      <c r="G13" s="23" t="n">
        <f aca="false">Trade_History!L29</f>
        <v>44.2</v>
      </c>
    </row>
    <row r="14" customFormat="false" ht="15" hidden="false" customHeight="true" outlineLevel="0" collapsed="false">
      <c r="A14" s="21" t="str">
        <f aca="false">Trade_History!B30</f>
        <v>2026-04-16</v>
      </c>
      <c r="B14" s="21" t="str">
        <f aca="false">Trade_History!C30</f>
        <v>USD/JPY</v>
      </c>
      <c r="C14" s="21" t="str">
        <f aca="false">Trade_History!D30</f>
        <v>SELL</v>
      </c>
      <c r="D14" s="22" t="n">
        <f aca="false">Trade_History!I30</f>
        <v>0.9</v>
      </c>
      <c r="E14" s="21" t="str">
        <f aca="false">Trade_History!H30&amp;":1"</f>
        <v>3:1</v>
      </c>
      <c r="F14" s="21" t="str">
        <f aca="false">Trade_History!K30</f>
        <v>Loss</v>
      </c>
      <c r="G14" s="23" t="n">
        <f aca="false">Trade_History!L30</f>
        <v>-18.9</v>
      </c>
    </row>
    <row r="15" customFormat="false" ht="15" hidden="false" customHeight="true" outlineLevel="0" collapsed="false">
      <c r="A15" s="21" t="str">
        <f aca="false">Trade_History!B31</f>
        <v>2026-04-17</v>
      </c>
      <c r="B15" s="21" t="str">
        <f aca="false">Trade_History!C31</f>
        <v>EUR/USD</v>
      </c>
      <c r="C15" s="21" t="str">
        <f aca="false">Trade_History!D31</f>
        <v>BUY</v>
      </c>
      <c r="D15" s="22" t="n">
        <f aca="false">Trade_History!I31</f>
        <v>0.79</v>
      </c>
      <c r="E15" s="21" t="str">
        <f aca="false">Trade_History!H31&amp;":1"</f>
        <v>2:1</v>
      </c>
      <c r="F15" s="21" t="str">
        <f aca="false">Trade_History!K31</f>
        <v>Win</v>
      </c>
      <c r="G15" s="23" t="n">
        <f aca="false">Trade_History!L31</f>
        <v>46</v>
      </c>
    </row>
    <row r="16" customFormat="false" ht="15" hidden="false" customHeight="true" outlineLevel="0" collapsed="false">
      <c r="A16" s="21" t="str">
        <f aca="false">Trade_History!B32</f>
        <v>2026-04-18</v>
      </c>
      <c r="B16" s="21" t="str">
        <f aca="false">Trade_History!C32</f>
        <v>EUR/USD</v>
      </c>
      <c r="C16" s="21" t="str">
        <f aca="false">Trade_History!D32</f>
        <v>BUY</v>
      </c>
      <c r="D16" s="22" t="n">
        <f aca="false">Trade_History!I32</f>
        <v>0.78</v>
      </c>
      <c r="E16" s="21" t="str">
        <f aca="false">Trade_History!H32&amp;":1"</f>
        <v>2:1</v>
      </c>
      <c r="F16" s="21" t="str">
        <f aca="false">Trade_History!K32</f>
        <v>Loss</v>
      </c>
      <c r="G16" s="23" t="n">
        <f aca="false">Trade_History!L32</f>
        <v>-18</v>
      </c>
    </row>
    <row r="17" customFormat="false" ht="15" hidden="false" customHeight="true" outlineLevel="0" collapsed="false">
      <c r="A17" s="21" t="str">
        <f aca="false">Trade_History!B33</f>
        <v>2026-04-19</v>
      </c>
      <c r="B17" s="21" t="str">
        <f aca="false">Trade_History!C33</f>
        <v>GBP/USD</v>
      </c>
      <c r="C17" s="21" t="str">
        <f aca="false">Trade_History!D33</f>
        <v>BUY</v>
      </c>
      <c r="D17" s="22" t="n">
        <f aca="false">Trade_History!I33</f>
        <v>0.58</v>
      </c>
      <c r="E17" s="21" t="str">
        <f aca="false">Trade_History!H33&amp;":1"</f>
        <v>2:1</v>
      </c>
      <c r="F17" s="21" t="str">
        <f aca="false">Trade_History!K33</f>
        <v>Win</v>
      </c>
      <c r="G17" s="23" t="n">
        <f aca="false">Trade_History!L33</f>
        <v>37.8</v>
      </c>
    </row>
    <row r="18" customFormat="false" ht="15" hidden="false" customHeight="true" outlineLevel="0" collapsed="false">
      <c r="A18" s="21" t="str">
        <f aca="false">Trade_History!B34</f>
        <v>2026-04-21</v>
      </c>
      <c r="B18" s="21" t="str">
        <f aca="false">Trade_History!C34</f>
        <v>USD/JPY</v>
      </c>
      <c r="C18" s="21" t="str">
        <f aca="false">Trade_History!D34</f>
        <v>BUY</v>
      </c>
      <c r="D18" s="22" t="n">
        <f aca="false">Trade_History!I34</f>
        <v>0.45</v>
      </c>
      <c r="E18" s="21" t="str">
        <f aca="false">Trade_History!H34&amp;":1"</f>
        <v>1:1</v>
      </c>
      <c r="F18" s="21" t="str">
        <f aca="false">Trade_History!K34</f>
        <v>Win</v>
      </c>
      <c r="G18" s="23" t="n">
        <f aca="false">Trade_History!L34</f>
        <v>17.7</v>
      </c>
    </row>
    <row r="19" customFormat="false" ht="15" hidden="false" customHeight="true" outlineLevel="0" collapsed="false">
      <c r="A19" s="21" t="str">
        <f aca="false">Trade_History!B35</f>
        <v>2026-04-22</v>
      </c>
      <c r="B19" s="21" t="str">
        <f aca="false">Trade_History!C35</f>
        <v>GBP/USD</v>
      </c>
      <c r="C19" s="21" t="str">
        <f aca="false">Trade_History!D35</f>
        <v>BUY</v>
      </c>
      <c r="D19" s="22" t="n">
        <f aca="false">Trade_History!I35</f>
        <v>0.94</v>
      </c>
      <c r="E19" s="21" t="str">
        <f aca="false">Trade_History!H35&amp;":1"</f>
        <v>3:1</v>
      </c>
      <c r="F19" s="21" t="str">
        <f aca="false">Trade_History!K35</f>
        <v>Win</v>
      </c>
      <c r="G19" s="23" t="n">
        <f aca="false">Trade_History!L35</f>
        <v>56.1</v>
      </c>
    </row>
    <row r="20" customFormat="false" ht="15" hidden="false" customHeight="true" outlineLevel="0" collapsed="false">
      <c r="A20" s="21" t="str">
        <f aca="false">Trade_History!B36</f>
        <v>2026-04-24</v>
      </c>
      <c r="B20" s="21" t="str">
        <f aca="false">Trade_History!C36</f>
        <v>EUR/USD</v>
      </c>
      <c r="C20" s="21" t="str">
        <f aca="false">Trade_History!D36</f>
        <v>SELL</v>
      </c>
      <c r="D20" s="22" t="n">
        <f aca="false">Trade_History!I36</f>
        <v>0.34</v>
      </c>
      <c r="E20" s="21" t="str">
        <f aca="false">Trade_History!H36&amp;":1"</f>
        <v>1:1</v>
      </c>
      <c r="F20" s="21" t="str">
        <f aca="false">Trade_History!K36</f>
        <v>Loss</v>
      </c>
      <c r="G20" s="23" t="n">
        <f aca="false">Trade_History!L36</f>
        <v>-24.8</v>
      </c>
    </row>
    <row r="21" customFormat="false" ht="15" hidden="false" customHeight="true" outlineLevel="0" collapsed="false">
      <c r="A21" s="21" t="str">
        <f aca="false">Trade_History!B37</f>
        <v>2026-04-26</v>
      </c>
      <c r="B21" s="21" t="str">
        <f aca="false">Trade_History!C37</f>
        <v>GBP/USD</v>
      </c>
      <c r="C21" s="21" t="str">
        <f aca="false">Trade_History!D37</f>
        <v>BUY</v>
      </c>
      <c r="D21" s="22" t="n">
        <f aca="false">Trade_History!I37</f>
        <v>0.9</v>
      </c>
      <c r="E21" s="21" t="str">
        <f aca="false">Trade_History!H37&amp;":1"</f>
        <v>3:1</v>
      </c>
      <c r="F21" s="21" t="str">
        <f aca="false">Trade_History!K37</f>
        <v>Win</v>
      </c>
      <c r="G21" s="23" t="n">
        <f aca="false">Trade_History!L37</f>
        <v>74.1</v>
      </c>
    </row>
    <row r="22" customFormat="false" ht="15" hidden="false" customHeight="true" outlineLevel="0" collapsed="false">
      <c r="A22" s="21" t="str">
        <f aca="false">Trade_History!B38</f>
        <v>2026-04-28</v>
      </c>
      <c r="B22" s="21" t="str">
        <f aca="false">Trade_History!C38</f>
        <v>EUR/USD</v>
      </c>
      <c r="C22" s="21" t="str">
        <f aca="false">Trade_History!D38</f>
        <v>SELL</v>
      </c>
      <c r="D22" s="22" t="n">
        <f aca="false">Trade_History!I38</f>
        <v>0.82</v>
      </c>
      <c r="E22" s="21" t="str">
        <f aca="false">Trade_History!H38&amp;":1"</f>
        <v>2:1</v>
      </c>
      <c r="F22" s="21" t="str">
        <f aca="false">Trade_History!K38</f>
        <v>Win</v>
      </c>
      <c r="G22" s="23" t="n">
        <f aca="false">Trade_History!L38</f>
        <v>33.4</v>
      </c>
    </row>
  </sheetData>
  <mergeCells count="3">
    <mergeCell ref="A1:H1"/>
    <mergeCell ref="A2:H2"/>
    <mergeCell ref="A4:C6"/>
  </mergeCells>
  <conditionalFormatting sqref="A4">
    <cfRule type="expression" priority="2" aboveAverage="0" equalAverage="0" bottom="0" percent="0" rank="0" text="" dxfId="0">
      <formula>Logic!B31="TAKE"</formula>
    </cfRule>
    <cfRule type="expression" priority="3" aboveAverage="0" equalAverage="0" bottom="0" percent="0" rank="0" text="" dxfId="1">
      <formula>Logic!B31="REJECT"</formula>
    </cfRule>
  </conditionalFormatting>
  <conditionalFormatting sqref="F13">
    <cfRule type="cellIs" priority="4" operator="equal" aboveAverage="0" equalAverage="0" bottom="0" percent="0" rank="0" text="" dxfId="2">
      <formula>"Win"</formula>
    </cfRule>
    <cfRule type="cellIs" priority="5" operator="equal" aboveAverage="0" equalAverage="0" bottom="0" percent="0" rank="0" text="" dxfId="3">
      <formula>"Loss"</formula>
    </cfRule>
  </conditionalFormatting>
  <conditionalFormatting sqref="G13">
    <cfRule type="cellIs" priority="6" operator="greaterThan" aboveAverage="0" equalAverage="0" bottom="0" percent="0" rank="0" text="" dxfId="2">
      <formula>0</formula>
    </cfRule>
    <cfRule type="cellIs" priority="7" operator="lessThan" aboveAverage="0" equalAverage="0" bottom="0" percent="0" rank="0" text="" dxfId="3">
      <formula>0</formula>
    </cfRule>
  </conditionalFormatting>
  <conditionalFormatting sqref="F14">
    <cfRule type="cellIs" priority="8" operator="equal" aboveAverage="0" equalAverage="0" bottom="0" percent="0" rank="0" text="" dxfId="2">
      <formula>"Win"</formula>
    </cfRule>
    <cfRule type="cellIs" priority="9" operator="equal" aboveAverage="0" equalAverage="0" bottom="0" percent="0" rank="0" text="" dxfId="3">
      <formula>"Loss"</formula>
    </cfRule>
  </conditionalFormatting>
  <conditionalFormatting sqref="G14">
    <cfRule type="cellIs" priority="10" operator="greaterThan" aboveAverage="0" equalAverage="0" bottom="0" percent="0" rank="0" text="" dxfId="2">
      <formula>0</formula>
    </cfRule>
    <cfRule type="cellIs" priority="11" operator="lessThan" aboveAverage="0" equalAverage="0" bottom="0" percent="0" rank="0" text="" dxfId="3">
      <formula>0</formula>
    </cfRule>
  </conditionalFormatting>
  <conditionalFormatting sqref="F15">
    <cfRule type="cellIs" priority="12" operator="equal" aboveAverage="0" equalAverage="0" bottom="0" percent="0" rank="0" text="" dxfId="2">
      <formula>"Win"</formula>
    </cfRule>
    <cfRule type="cellIs" priority="13" operator="equal" aboveAverage="0" equalAverage="0" bottom="0" percent="0" rank="0" text="" dxfId="3">
      <formula>"Loss"</formula>
    </cfRule>
  </conditionalFormatting>
  <conditionalFormatting sqref="G15">
    <cfRule type="cellIs" priority="14" operator="greaterThan" aboveAverage="0" equalAverage="0" bottom="0" percent="0" rank="0" text="" dxfId="2">
      <formula>0</formula>
    </cfRule>
    <cfRule type="cellIs" priority="15" operator="lessThan" aboveAverage="0" equalAverage="0" bottom="0" percent="0" rank="0" text="" dxfId="3">
      <formula>0</formula>
    </cfRule>
  </conditionalFormatting>
  <conditionalFormatting sqref="F16">
    <cfRule type="cellIs" priority="16" operator="equal" aboveAverage="0" equalAverage="0" bottom="0" percent="0" rank="0" text="" dxfId="2">
      <formula>"Win"</formula>
    </cfRule>
    <cfRule type="cellIs" priority="17" operator="equal" aboveAverage="0" equalAverage="0" bottom="0" percent="0" rank="0" text="" dxfId="3">
      <formula>"Loss"</formula>
    </cfRule>
  </conditionalFormatting>
  <conditionalFormatting sqref="G16">
    <cfRule type="cellIs" priority="18" operator="greaterThan" aboveAverage="0" equalAverage="0" bottom="0" percent="0" rank="0" text="" dxfId="2">
      <formula>0</formula>
    </cfRule>
    <cfRule type="cellIs" priority="19" operator="lessThan" aboveAverage="0" equalAverage="0" bottom="0" percent="0" rank="0" text="" dxfId="3">
      <formula>0</formula>
    </cfRule>
  </conditionalFormatting>
  <conditionalFormatting sqref="F17">
    <cfRule type="cellIs" priority="20" operator="equal" aboveAverage="0" equalAverage="0" bottom="0" percent="0" rank="0" text="" dxfId="2">
      <formula>"Win"</formula>
    </cfRule>
    <cfRule type="cellIs" priority="21" operator="equal" aboveAverage="0" equalAverage="0" bottom="0" percent="0" rank="0" text="" dxfId="3">
      <formula>"Loss"</formula>
    </cfRule>
  </conditionalFormatting>
  <conditionalFormatting sqref="G17">
    <cfRule type="cellIs" priority="22" operator="greaterThan" aboveAverage="0" equalAverage="0" bottom="0" percent="0" rank="0" text="" dxfId="2">
      <formula>0</formula>
    </cfRule>
    <cfRule type="cellIs" priority="23" operator="lessThan" aboveAverage="0" equalAverage="0" bottom="0" percent="0" rank="0" text="" dxfId="3">
      <formula>0</formula>
    </cfRule>
  </conditionalFormatting>
  <conditionalFormatting sqref="F18">
    <cfRule type="cellIs" priority="24" operator="equal" aboveAverage="0" equalAverage="0" bottom="0" percent="0" rank="0" text="" dxfId="2">
      <formula>"Win"</formula>
    </cfRule>
    <cfRule type="cellIs" priority="25" operator="equal" aboveAverage="0" equalAverage="0" bottom="0" percent="0" rank="0" text="" dxfId="3">
      <formula>"Loss"</formula>
    </cfRule>
  </conditionalFormatting>
  <conditionalFormatting sqref="G18">
    <cfRule type="cellIs" priority="26" operator="greaterThan" aboveAverage="0" equalAverage="0" bottom="0" percent="0" rank="0" text="" dxfId="2">
      <formula>0</formula>
    </cfRule>
    <cfRule type="cellIs" priority="27" operator="lessThan" aboveAverage="0" equalAverage="0" bottom="0" percent="0" rank="0" text="" dxfId="3">
      <formula>0</formula>
    </cfRule>
  </conditionalFormatting>
  <conditionalFormatting sqref="F19">
    <cfRule type="cellIs" priority="28" operator="equal" aboveAverage="0" equalAverage="0" bottom="0" percent="0" rank="0" text="" dxfId="2">
      <formula>"Win"</formula>
    </cfRule>
    <cfRule type="cellIs" priority="29" operator="equal" aboveAverage="0" equalAverage="0" bottom="0" percent="0" rank="0" text="" dxfId="3">
      <formula>"Loss"</formula>
    </cfRule>
  </conditionalFormatting>
  <conditionalFormatting sqref="G19">
    <cfRule type="cellIs" priority="30" operator="greaterThan" aboveAverage="0" equalAverage="0" bottom="0" percent="0" rank="0" text="" dxfId="2">
      <formula>0</formula>
    </cfRule>
    <cfRule type="cellIs" priority="31" operator="lessThan" aboveAverage="0" equalAverage="0" bottom="0" percent="0" rank="0" text="" dxfId="3">
      <formula>0</formula>
    </cfRule>
  </conditionalFormatting>
  <conditionalFormatting sqref="F20">
    <cfRule type="cellIs" priority="32" operator="equal" aboveAverage="0" equalAverage="0" bottom="0" percent="0" rank="0" text="" dxfId="2">
      <formula>"Win"</formula>
    </cfRule>
    <cfRule type="cellIs" priority="33" operator="equal" aboveAverage="0" equalAverage="0" bottom="0" percent="0" rank="0" text="" dxfId="3">
      <formula>"Loss"</formula>
    </cfRule>
  </conditionalFormatting>
  <conditionalFormatting sqref="G20">
    <cfRule type="cellIs" priority="34" operator="greaterThan" aboveAverage="0" equalAverage="0" bottom="0" percent="0" rank="0" text="" dxfId="2">
      <formula>0</formula>
    </cfRule>
    <cfRule type="cellIs" priority="35" operator="lessThan" aboveAverage="0" equalAverage="0" bottom="0" percent="0" rank="0" text="" dxfId="3">
      <formula>0</formula>
    </cfRule>
  </conditionalFormatting>
  <conditionalFormatting sqref="F21">
    <cfRule type="cellIs" priority="36" operator="equal" aboveAverage="0" equalAverage="0" bottom="0" percent="0" rank="0" text="" dxfId="2">
      <formula>"Win"</formula>
    </cfRule>
    <cfRule type="cellIs" priority="37" operator="equal" aboveAverage="0" equalAverage="0" bottom="0" percent="0" rank="0" text="" dxfId="3">
      <formula>"Loss"</formula>
    </cfRule>
  </conditionalFormatting>
  <conditionalFormatting sqref="G21">
    <cfRule type="cellIs" priority="38" operator="greaterThan" aboveAverage="0" equalAverage="0" bottom="0" percent="0" rank="0" text="" dxfId="2">
      <formula>0</formula>
    </cfRule>
    <cfRule type="cellIs" priority="39" operator="lessThan" aboveAverage="0" equalAverage="0" bottom="0" percent="0" rank="0" text="" dxfId="3">
      <formula>0</formula>
    </cfRule>
  </conditionalFormatting>
  <conditionalFormatting sqref="F22">
    <cfRule type="cellIs" priority="40" operator="equal" aboveAverage="0" equalAverage="0" bottom="0" percent="0" rank="0" text="" dxfId="2">
      <formula>"Win"</formula>
    </cfRule>
    <cfRule type="cellIs" priority="41" operator="equal" aboveAverage="0" equalAverage="0" bottom="0" percent="0" rank="0" text="" dxfId="3">
      <formula>"Loss"</formula>
    </cfRule>
  </conditionalFormatting>
  <conditionalFormatting sqref="G22">
    <cfRule type="cellIs" priority="42" operator="greaterThan" aboveAverage="0" equalAverage="0" bottom="0" percent="0" rank="0" text="" dxfId="2">
      <formula>0</formula>
    </cfRule>
    <cfRule type="cellIs" priority="43" operator="lessThan" aboveAverage="0" equalAverage="0" bottom="0" percent="0" rank="0" text="" dxfId="3">
      <formula>0</formula>
    </cfRule>
  </conditionalFormatting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28"/>
    <col collapsed="false" customWidth="true" hidden="false" outlineLevel="0" max="3" min="3" style="1" width="13"/>
    <col collapsed="false" customWidth="true" hidden="false" outlineLevel="0" max="4" min="4" style="1" width="9"/>
    <col collapsed="false" customWidth="true" hidden="false" outlineLevel="0" max="5" min="5" style="1" width="40"/>
  </cols>
  <sheetData>
    <row r="1" customFormat="false" ht="30" hidden="false" customHeight="true" outlineLevel="0" collapsed="false">
      <c r="A1" s="2" t="s">
        <v>33</v>
      </c>
      <c r="B1" s="2"/>
      <c r="C1" s="2"/>
      <c r="D1" s="2"/>
      <c r="E1" s="2"/>
      <c r="F1" s="2"/>
      <c r="G1" s="2"/>
    </row>
    <row r="2" customFormat="false" ht="18" hidden="false" customHeight="true" outlineLevel="0" collapsed="false">
      <c r="A2" s="3" t="s">
        <v>34</v>
      </c>
      <c r="B2" s="3"/>
      <c r="C2" s="3"/>
      <c r="D2" s="3"/>
      <c r="E2" s="3"/>
      <c r="F2" s="3"/>
      <c r="G2" s="3"/>
    </row>
    <row r="4" customFormat="false" ht="15" hidden="false" customHeight="true" outlineLevel="0" collapsed="false">
      <c r="A4" s="19" t="s">
        <v>35</v>
      </c>
    </row>
    <row r="5" customFormat="false" ht="15" hidden="false" customHeight="true" outlineLevel="0" collapsed="false">
      <c r="A5" s="20" t="s">
        <v>36</v>
      </c>
      <c r="B5" s="20" t="s">
        <v>37</v>
      </c>
      <c r="C5" s="20" t="s">
        <v>38</v>
      </c>
      <c r="D5" s="20" t="s">
        <v>39</v>
      </c>
      <c r="E5" s="20" t="s">
        <v>40</v>
      </c>
    </row>
    <row r="6" customFormat="false" ht="21.75" hidden="false" customHeight="true" outlineLevel="0" collapsed="false">
      <c r="A6" s="24" t="s">
        <v>41</v>
      </c>
      <c r="B6" s="25" t="s">
        <v>42</v>
      </c>
      <c r="C6" s="26" t="n">
        <f aca="false">Logic!C21</f>
        <v>3.29457364341074</v>
      </c>
      <c r="D6" s="16" t="str">
        <f aca="false">Logic!D21</f>
        <v>PASS</v>
      </c>
      <c r="E6" s="25" t="s">
        <v>43</v>
      </c>
    </row>
    <row r="7" customFormat="false" ht="21.75" hidden="false" customHeight="true" outlineLevel="0" collapsed="false">
      <c r="A7" s="24" t="s">
        <v>44</v>
      </c>
      <c r="B7" s="25" t="s">
        <v>45</v>
      </c>
      <c r="C7" s="26" t="n">
        <f aca="false">Logic!C22</f>
        <v>0.00166537159714997</v>
      </c>
      <c r="D7" s="16" t="str">
        <f aca="false">Logic!D22</f>
        <v>PASS</v>
      </c>
      <c r="E7" s="25" t="s">
        <v>46</v>
      </c>
    </row>
    <row r="8" customFormat="false" ht="21.75" hidden="false" customHeight="true" outlineLevel="0" collapsed="false">
      <c r="A8" s="24" t="s">
        <v>47</v>
      </c>
      <c r="B8" s="25" t="s">
        <v>48</v>
      </c>
      <c r="C8" s="26" t="n">
        <f aca="false">Logic!C23</f>
        <v>0.686274509803949</v>
      </c>
      <c r="D8" s="16" t="str">
        <f aca="false">Logic!D23</f>
        <v>PASS</v>
      </c>
      <c r="E8" s="25" t="s">
        <v>49</v>
      </c>
    </row>
    <row r="9" customFormat="false" ht="21.75" hidden="false" customHeight="true" outlineLevel="0" collapsed="false">
      <c r="A9" s="24" t="s">
        <v>50</v>
      </c>
      <c r="B9" s="25" t="s">
        <v>51</v>
      </c>
      <c r="C9" s="26" t="n">
        <f aca="false">Logic!C24</f>
        <v>1.06147919494617</v>
      </c>
      <c r="D9" s="16" t="str">
        <f aca="false">Logic!D24</f>
        <v>PASS</v>
      </c>
      <c r="E9" s="25" t="s">
        <v>52</v>
      </c>
    </row>
    <row r="10" customFormat="false" ht="21.75" hidden="false" customHeight="true" outlineLevel="0" collapsed="false">
      <c r="A10" s="24" t="s">
        <v>53</v>
      </c>
      <c r="B10" s="25" t="s">
        <v>54</v>
      </c>
      <c r="C10" s="26" t="n">
        <f aca="false">Logic!C25</f>
        <v>4.5328399629974</v>
      </c>
      <c r="D10" s="16" t="str">
        <f aca="false">Logic!D25</f>
        <v>PASS</v>
      </c>
      <c r="E10" s="25" t="s">
        <v>55</v>
      </c>
    </row>
    <row r="11" customFormat="false" ht="21.75" hidden="false" customHeight="true" outlineLevel="0" collapsed="false">
      <c r="A11" s="24" t="s">
        <v>56</v>
      </c>
      <c r="B11" s="25" t="s">
        <v>57</v>
      </c>
      <c r="C11" s="26" t="n">
        <f aca="false">Logic!C26</f>
        <v>0.0009</v>
      </c>
      <c r="D11" s="16" t="str">
        <f aca="false">Logic!D26</f>
        <v>PASS</v>
      </c>
      <c r="E11" s="25" t="s">
        <v>58</v>
      </c>
    </row>
    <row r="12" customFormat="false" ht="21.75" hidden="false" customHeight="true" outlineLevel="0" collapsed="false">
      <c r="A12" s="24" t="s">
        <v>59</v>
      </c>
      <c r="B12" s="25" t="s">
        <v>60</v>
      </c>
      <c r="C12" s="26" t="n">
        <f aca="false">Logic!C27</f>
        <v>1</v>
      </c>
      <c r="D12" s="16" t="str">
        <f aca="false">Logic!D27</f>
        <v>PASS</v>
      </c>
      <c r="E12" s="25" t="s">
        <v>61</v>
      </c>
    </row>
    <row r="13" customFormat="false" ht="21.75" hidden="false" customHeight="true" outlineLevel="0" collapsed="false">
      <c r="A13" s="24" t="s">
        <v>62</v>
      </c>
      <c r="B13" s="25" t="s">
        <v>63</v>
      </c>
      <c r="C13" s="26" t="n">
        <f aca="false">Logic!C28</f>
        <v>8</v>
      </c>
      <c r="D13" s="16" t="str">
        <f aca="false">Logic!D28</f>
        <v>PASS</v>
      </c>
      <c r="E13" s="25" t="s">
        <v>64</v>
      </c>
    </row>
    <row r="14" customFormat="false" ht="15" hidden="false" customHeight="true" outlineLevel="0" collapsed="false">
      <c r="A14" s="27" t="s">
        <v>65</v>
      </c>
      <c r="D14" s="16" t="str">
        <f aca="false">Logic!B31</f>
        <v>TAKE</v>
      </c>
      <c r="E14" s="28" t="str">
        <f aca="false">HYPERLINK("#Calculation_Breakdown!A1","See full calculation breakdown &gt;")</f>
        <v>See full calculation breakdown &gt;</v>
      </c>
    </row>
    <row r="16" customFormat="false" ht="15" hidden="false" customHeight="true" outlineLevel="0" collapsed="false">
      <c r="A16" s="7" t="s">
        <v>66</v>
      </c>
    </row>
  </sheetData>
  <mergeCells count="2">
    <mergeCell ref="A1:G1"/>
    <mergeCell ref="A2:G2"/>
  </mergeCells>
  <conditionalFormatting sqref="D6">
    <cfRule type="cellIs" priority="2" operator="equal" aboveAverage="0" equalAverage="0" bottom="0" percent="0" rank="0" text="" dxfId="4">
      <formula>"PASS"</formula>
    </cfRule>
    <cfRule type="cellIs" priority="3" operator="equal" aboveAverage="0" equalAverage="0" bottom="0" percent="0" rank="0" text="" dxfId="5">
      <formula>"FAIL"</formula>
    </cfRule>
  </conditionalFormatting>
  <conditionalFormatting sqref="D7">
    <cfRule type="cellIs" priority="4" operator="equal" aboveAverage="0" equalAverage="0" bottom="0" percent="0" rank="0" text="" dxfId="4">
      <formula>"PASS"</formula>
    </cfRule>
    <cfRule type="cellIs" priority="5" operator="equal" aboveAverage="0" equalAverage="0" bottom="0" percent="0" rank="0" text="" dxfId="5">
      <formula>"FAIL"</formula>
    </cfRule>
  </conditionalFormatting>
  <conditionalFormatting sqref="D8">
    <cfRule type="cellIs" priority="6" operator="equal" aboveAverage="0" equalAverage="0" bottom="0" percent="0" rank="0" text="" dxfId="4">
      <formula>"PASS"</formula>
    </cfRule>
    <cfRule type="cellIs" priority="7" operator="equal" aboveAverage="0" equalAverage="0" bottom="0" percent="0" rank="0" text="" dxfId="5">
      <formula>"FAIL"</formula>
    </cfRule>
  </conditionalFormatting>
  <conditionalFormatting sqref="D9">
    <cfRule type="cellIs" priority="8" operator="equal" aboveAverage="0" equalAverage="0" bottom="0" percent="0" rank="0" text="" dxfId="4">
      <formula>"PASS"</formula>
    </cfRule>
    <cfRule type="cellIs" priority="9" operator="equal" aboveAverage="0" equalAverage="0" bottom="0" percent="0" rank="0" text="" dxfId="5">
      <formula>"FAIL"</formula>
    </cfRule>
  </conditionalFormatting>
  <conditionalFormatting sqref="D10">
    <cfRule type="cellIs" priority="10" operator="equal" aboveAverage="0" equalAverage="0" bottom="0" percent="0" rank="0" text="" dxfId="4">
      <formula>"PASS"</formula>
    </cfRule>
    <cfRule type="cellIs" priority="11" operator="equal" aboveAverage="0" equalAverage="0" bottom="0" percent="0" rank="0" text="" dxfId="5">
      <formula>"FAIL"</formula>
    </cfRule>
  </conditionalFormatting>
  <conditionalFormatting sqref="D11">
    <cfRule type="cellIs" priority="12" operator="equal" aboveAverage="0" equalAverage="0" bottom="0" percent="0" rank="0" text="" dxfId="4">
      <formula>"PASS"</formula>
    </cfRule>
    <cfRule type="cellIs" priority="13" operator="equal" aboveAverage="0" equalAverage="0" bottom="0" percent="0" rank="0" text="" dxfId="5">
      <formula>"FAIL"</formula>
    </cfRule>
  </conditionalFormatting>
  <conditionalFormatting sqref="D12">
    <cfRule type="cellIs" priority="14" operator="equal" aboveAverage="0" equalAverage="0" bottom="0" percent="0" rank="0" text="" dxfId="4">
      <formula>"PASS"</formula>
    </cfRule>
    <cfRule type="cellIs" priority="15" operator="equal" aboveAverage="0" equalAverage="0" bottom="0" percent="0" rank="0" text="" dxfId="5">
      <formula>"FAIL"</formula>
    </cfRule>
  </conditionalFormatting>
  <conditionalFormatting sqref="D13">
    <cfRule type="cellIs" priority="16" operator="equal" aboveAverage="0" equalAverage="0" bottom="0" percent="0" rank="0" text="" dxfId="4">
      <formula>"PASS"</formula>
    </cfRule>
    <cfRule type="cellIs" priority="17" operator="equal" aboveAverage="0" equalAverage="0" bottom="0" percent="0" rank="0" text="" dxfId="5">
      <formula>"FAIL"</formula>
    </cfRule>
  </conditionalFormatting>
  <conditionalFormatting sqref="D14">
    <cfRule type="cellIs" priority="18" operator="equal" aboveAverage="0" equalAverage="0" bottom="0" percent="0" rank="0" text="" dxfId="4">
      <formula>"TAKE"</formula>
    </cfRule>
    <cfRule type="cellIs" priority="19" operator="equal" aboveAverage="0" equalAverage="0" bottom="0" percent="0" rank="0" text="" dxfId="5">
      <formula>"REJECT"</formula>
    </cfRule>
  </conditionalFormatting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9"/>
    <col collapsed="false" customWidth="true" hidden="false" outlineLevel="0" max="3" min="3" style="1" width="10"/>
    <col collapsed="false" customWidth="true" hidden="false" outlineLevel="0" max="4" min="4" style="1" width="11"/>
    <col collapsed="false" customWidth="true" hidden="false" outlineLevel="0" max="5" min="5" style="1" width="9"/>
    <col collapsed="false" customWidth="true" hidden="false" outlineLevel="0" max="6" min="6" style="1" width="3"/>
    <col collapsed="false" customWidth="true" hidden="false" outlineLevel="0" max="8" min="7" style="1" width="12"/>
  </cols>
  <sheetData>
    <row r="1" customFormat="false" ht="30" hidden="false" customHeight="true" outlineLevel="0" collapsed="false">
      <c r="A1" s="2" t="s">
        <v>67</v>
      </c>
      <c r="B1" s="2"/>
      <c r="C1" s="2"/>
      <c r="D1" s="2"/>
      <c r="E1" s="2"/>
      <c r="F1" s="2"/>
      <c r="G1" s="2"/>
      <c r="H1" s="2"/>
    </row>
    <row r="2" customFormat="false" ht="18" hidden="false" customHeight="true" outlineLevel="0" collapsed="false">
      <c r="A2" s="3" t="s">
        <v>68</v>
      </c>
      <c r="B2" s="3"/>
      <c r="C2" s="3"/>
      <c r="D2" s="3"/>
      <c r="E2" s="3"/>
      <c r="F2" s="3"/>
      <c r="G2" s="3"/>
      <c r="H2" s="3"/>
    </row>
    <row r="4" customFormat="false" ht="15" hidden="false" customHeight="true" outlineLevel="0" collapsed="false">
      <c r="A4" s="29" t="s">
        <v>69</v>
      </c>
      <c r="B4" s="29"/>
      <c r="C4" s="29" t="s">
        <v>70</v>
      </c>
      <c r="D4" s="29"/>
      <c r="E4" s="29" t="s">
        <v>71</v>
      </c>
      <c r="F4" s="29"/>
      <c r="G4" s="29" t="s">
        <v>72</v>
      </c>
      <c r="H4" s="29"/>
    </row>
    <row r="5" customFormat="false" ht="21.75" hidden="false" customHeight="true" outlineLevel="0" collapsed="false">
      <c r="A5" s="30" t="n">
        <f aca="false">SUM(Trade_History!L2:L38)</f>
        <v>493</v>
      </c>
      <c r="B5" s="30"/>
      <c r="C5" s="31" t="n">
        <f aca="false">COUNT(Trade_History!A2:A38)</f>
        <v>37</v>
      </c>
      <c r="D5" s="31"/>
      <c r="E5" s="32" t="n">
        <f aca="false">COUNTIF(Trade_History!K2:K38,"Win")/COUNT(Trade_History!A2:A38)</f>
        <v>0.567567567567568</v>
      </c>
      <c r="F5" s="32"/>
      <c r="G5" s="30" t="n">
        <f aca="false">AVERAGEIF(Trade_History!K2:K38,"Win",Trade_History!L2:L38)</f>
        <v>39.6047619047619</v>
      </c>
      <c r="H5" s="30"/>
    </row>
    <row r="7" customFormat="false" ht="15" hidden="false" customHeight="true" outlineLevel="0" collapsed="false">
      <c r="A7" s="29" t="s">
        <v>73</v>
      </c>
      <c r="B7" s="29"/>
      <c r="C7" s="29" t="s">
        <v>74</v>
      </c>
      <c r="D7" s="29"/>
      <c r="E7" s="29" t="s">
        <v>75</v>
      </c>
      <c r="F7" s="29"/>
      <c r="G7" s="29" t="s">
        <v>76</v>
      </c>
      <c r="H7" s="29"/>
    </row>
    <row r="8" customFormat="false" ht="21.75" hidden="false" customHeight="true" outlineLevel="0" collapsed="false">
      <c r="A8" s="30" t="n">
        <f aca="false">AVERAGEIF(Trade_History!K2:K38,"Loss",Trade_History!L2:L38)</f>
        <v>-21.16875</v>
      </c>
      <c r="B8" s="30"/>
      <c r="C8" s="33" t="n">
        <f aca="false">SUMIF(Trade_History!K2:K38,"Win",Trade_History!L2:L38)/-SUMIF(Trade_History!K2:K38,"Loss",Trade_History!L2:L38)</f>
        <v>2.45556539710658</v>
      </c>
      <c r="D8" s="33"/>
      <c r="E8" s="30" t="n">
        <f aca="false">MAX(Trade_History!O2:O38)</f>
        <v>87.7</v>
      </c>
      <c r="F8" s="30"/>
      <c r="G8" s="33" t="n">
        <f aca="false">AVERAGE(Trade_History!H2:H38)</f>
        <v>1.86486486486487</v>
      </c>
      <c r="H8" s="33"/>
    </row>
    <row r="10" customFormat="false" ht="15" hidden="false" customHeight="true" outlineLevel="0" collapsed="false">
      <c r="A10" s="15" t="s">
        <v>77</v>
      </c>
      <c r="C10" s="16" t="str">
        <f aca="false">IF(MAX(Trade_History!O2:O38)&gt;120,"BREACH","WITHIN TOLERANCE")</f>
        <v>WITHIN TOLERANCE</v>
      </c>
      <c r="D10" s="16"/>
    </row>
    <row r="12" customFormat="false" ht="15" hidden="false" customHeight="true" outlineLevel="0" collapsed="false">
      <c r="A12" s="19" t="s">
        <v>78</v>
      </c>
    </row>
    <row r="13" customFormat="false" ht="15" hidden="false" customHeight="true" outlineLevel="0" collapsed="false">
      <c r="A13" s="20" t="s">
        <v>27</v>
      </c>
      <c r="B13" s="20" t="s">
        <v>70</v>
      </c>
      <c r="C13" s="20" t="s">
        <v>71</v>
      </c>
      <c r="D13" s="20" t="s">
        <v>79</v>
      </c>
      <c r="E13" s="20" t="s">
        <v>80</v>
      </c>
    </row>
    <row r="14" customFormat="false" ht="15" hidden="false" customHeight="true" outlineLevel="0" collapsed="false">
      <c r="A14" s="34" t="s">
        <v>81</v>
      </c>
      <c r="B14" s="35" t="n">
        <f aca="false">COUNTIF(Trade_History!C2:C38,"EUR/USD")</f>
        <v>24</v>
      </c>
      <c r="C14" s="36" t="n">
        <f aca="false">IFERROR(COUNTIFS(Trade_History!C2:C38,"EUR/USD",Trade_History!K2:K38,"Win")/COUNTIF(Trade_History!C2:C38,"EUR/USD"),0)</f>
        <v>0.416666666666667</v>
      </c>
      <c r="D14" s="37" t="n">
        <f aca="false">SUMIF(Trade_History!C2:C38,"EUR/USD",Trade_History!L2:L38)</f>
        <v>108.1</v>
      </c>
      <c r="E14" s="38" t="n">
        <f aca="false">IFERROR(AVERAGEIF(Trade_History!C2:C38,"EUR/USD",Trade_History!H2:H38),0)</f>
        <v>1.79166666666667</v>
      </c>
    </row>
    <row r="15" customFormat="false" ht="15" hidden="false" customHeight="true" outlineLevel="0" collapsed="false">
      <c r="A15" s="34" t="s">
        <v>82</v>
      </c>
      <c r="B15" s="35" t="n">
        <f aca="false">COUNTIF(Trade_History!C2:C38,"GBP/USD")</f>
        <v>7</v>
      </c>
      <c r="C15" s="36" t="n">
        <f aca="false">IFERROR(COUNTIFS(Trade_History!C2:C38,"GBP/USD",Trade_History!K2:K38,"Win")/COUNTIF(Trade_History!C2:C38,"GBP/USD"),0)</f>
        <v>0.857142857142857</v>
      </c>
      <c r="D15" s="37" t="n">
        <f aca="false">SUMIF(Trade_History!C2:C38,"GBP/USD",Trade_History!L2:L38)</f>
        <v>233.6</v>
      </c>
      <c r="E15" s="38" t="n">
        <f aca="false">IFERROR(AVERAGEIF(Trade_History!C2:C38,"GBP/USD",Trade_History!H2:H38),0)</f>
        <v>2</v>
      </c>
    </row>
    <row r="16" customFormat="false" ht="15" hidden="false" customHeight="true" outlineLevel="0" collapsed="false">
      <c r="A16" s="34" t="s">
        <v>83</v>
      </c>
      <c r="B16" s="35" t="n">
        <f aca="false">COUNTIF(Trade_History!C2:C38,"USD/JPY")</f>
        <v>6</v>
      </c>
      <c r="C16" s="36" t="n">
        <f aca="false">IFERROR(COUNTIFS(Trade_History!C2:C38,"USD/JPY",Trade_History!K2:K38,"Win")/COUNTIF(Trade_History!C2:C38,"USD/JPY"),0)</f>
        <v>0.833333333333333</v>
      </c>
      <c r="D16" s="37" t="n">
        <f aca="false">SUMIF(Trade_History!C2:C38,"USD/JPY",Trade_History!L2:L38)</f>
        <v>151.3</v>
      </c>
      <c r="E16" s="38" t="n">
        <f aca="false">IFERROR(AVERAGEIF(Trade_History!C2:C38,"USD/JPY",Trade_History!H2:H38),0)</f>
        <v>2</v>
      </c>
    </row>
  </sheetData>
  <mergeCells count="19">
    <mergeCell ref="A1:H1"/>
    <mergeCell ref="A2:H2"/>
    <mergeCell ref="A4:B4"/>
    <mergeCell ref="C4:D4"/>
    <mergeCell ref="E4:F4"/>
    <mergeCell ref="G4:H4"/>
    <mergeCell ref="A5:B5"/>
    <mergeCell ref="C5:D5"/>
    <mergeCell ref="E5:F5"/>
    <mergeCell ref="G5:H5"/>
    <mergeCell ref="A7:B7"/>
    <mergeCell ref="C7:D7"/>
    <mergeCell ref="E7:F7"/>
    <mergeCell ref="G7:H7"/>
    <mergeCell ref="A8:B8"/>
    <mergeCell ref="C8:D8"/>
    <mergeCell ref="E8:F8"/>
    <mergeCell ref="G8:H8"/>
    <mergeCell ref="C10:D10"/>
  </mergeCells>
  <conditionalFormatting sqref="C10">
    <cfRule type="cellIs" priority="2" operator="equal" aboveAverage="0" equalAverage="0" bottom="0" percent="0" rank="0" text="" dxfId="4">
      <formula>"WITHIN TOLERANCE"</formula>
    </cfRule>
    <cfRule type="cellIs" priority="3" operator="equal" aboveAverage="0" equalAverage="0" bottom="0" percent="0" rank="0" text="" dxfId="5">
      <formula>"BREACH"</formula>
    </cfRule>
  </conditionalFormatting>
  <conditionalFormatting sqref="D14">
    <cfRule type="cellIs" priority="4" operator="greaterThan" aboveAverage="0" equalAverage="0" bottom="0" percent="0" rank="0" text="" dxfId="2">
      <formula>0</formula>
    </cfRule>
    <cfRule type="cellIs" priority="5" operator="lessThan" aboveAverage="0" equalAverage="0" bottom="0" percent="0" rank="0" text="" dxfId="3">
      <formula>0</formula>
    </cfRule>
  </conditionalFormatting>
  <conditionalFormatting sqref="D15">
    <cfRule type="cellIs" priority="6" operator="greaterThan" aboveAverage="0" equalAverage="0" bottom="0" percent="0" rank="0" text="" dxfId="2">
      <formula>0</formula>
    </cfRule>
    <cfRule type="cellIs" priority="7" operator="lessThan" aboveAverage="0" equalAverage="0" bottom="0" percent="0" rank="0" text="" dxfId="3">
      <formula>0</formula>
    </cfRule>
  </conditionalFormatting>
  <conditionalFormatting sqref="D16">
    <cfRule type="cellIs" priority="8" operator="greaterThan" aboveAverage="0" equalAverage="0" bottom="0" percent="0" rank="0" text="" dxfId="2">
      <formula>0</formula>
    </cfRule>
    <cfRule type="cellIs" priority="9" operator="lessThan" aboveAverage="0" equalAverage="0" bottom="0" percent="0" rank="0" text="" dxfId="3">
      <formula>0</formula>
    </cfRule>
  </conditionalFormatting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32"/>
    <col collapsed="false" customWidth="true" hidden="false" outlineLevel="0" max="3" min="3" style="1" width="12"/>
    <col collapsed="false" customWidth="true" hidden="false" outlineLevel="0" max="4" min="4" style="1" width="15"/>
  </cols>
  <sheetData>
    <row r="1" customFormat="false" ht="30" hidden="false" customHeight="true" outlineLevel="0" collapsed="false">
      <c r="A1" s="2" t="s">
        <v>84</v>
      </c>
      <c r="B1" s="2"/>
      <c r="C1" s="2"/>
      <c r="D1" s="2"/>
      <c r="E1" s="2"/>
      <c r="F1" s="2"/>
      <c r="G1" s="2"/>
    </row>
    <row r="2" customFormat="false" ht="18" hidden="false" customHeight="true" outlineLevel="0" collapsed="false">
      <c r="A2" s="3" t="s">
        <v>85</v>
      </c>
      <c r="B2" s="3"/>
      <c r="C2" s="3"/>
      <c r="D2" s="3"/>
      <c r="E2" s="3"/>
      <c r="F2" s="3"/>
      <c r="G2" s="3"/>
    </row>
    <row r="4" customFormat="false" ht="15" hidden="false" customHeight="true" outlineLevel="0" collapsed="false">
      <c r="A4" s="19" t="s">
        <v>86</v>
      </c>
    </row>
    <row r="5" customFormat="false" ht="15" hidden="false" customHeight="true" outlineLevel="0" collapsed="false">
      <c r="A5" s="20" t="s">
        <v>87</v>
      </c>
      <c r="B5" s="20" t="s">
        <v>88</v>
      </c>
      <c r="C5" s="20" t="s">
        <v>89</v>
      </c>
      <c r="D5" s="20" t="s">
        <v>90</v>
      </c>
    </row>
    <row r="6" customFormat="false" ht="15" hidden="false" customHeight="true" outlineLevel="0" collapsed="false">
      <c r="A6" s="34" t="s">
        <v>91</v>
      </c>
      <c r="B6" s="39" t="s">
        <v>92</v>
      </c>
      <c r="C6" s="40" t="n">
        <f aca="false">COUNT(Historical_Data!A2:A151)</f>
        <v>150</v>
      </c>
      <c r="D6" s="16" t="str">
        <f aca="false">IF(C6&gt;=100,"OPERATIONAL",IF(C6&gt;=60,"DEGRADED","FAILED"))</f>
        <v>OPERATIONAL</v>
      </c>
    </row>
    <row r="7" customFormat="false" ht="15" hidden="false" customHeight="true" outlineLevel="0" collapsed="false">
      <c r="A7" s="34" t="s">
        <v>93</v>
      </c>
      <c r="B7" s="39" t="s">
        <v>94</v>
      </c>
      <c r="C7" s="40" t="str">
        <f aca="false">IF(Logic!B31&lt;&gt;"","Yes","No")</f>
        <v>Yes</v>
      </c>
      <c r="D7" s="16" t="str">
        <f aca="false">IF(C7="Yes","OPERATIONAL","FAILED")</f>
        <v>OPERATIONAL</v>
      </c>
    </row>
    <row r="8" customFormat="false" ht="15" hidden="false" customHeight="true" outlineLevel="0" collapsed="false">
      <c r="A8" s="34" t="s">
        <v>95</v>
      </c>
      <c r="B8" s="39" t="s">
        <v>96</v>
      </c>
      <c r="C8" s="41" t="n">
        <f aca="false">SUM(B12:B21)/SUM(C12:C21)</f>
        <v>0.0141843971631206</v>
      </c>
      <c r="D8" s="16" t="str">
        <f aca="false">IF(C8&lt;0.02,"OPERATIONAL",IF(C8&lt;0.05,"DEGRADED","FAILED"))</f>
        <v>OPERATIONAL</v>
      </c>
    </row>
    <row r="9" customFormat="false" ht="15" hidden="false" customHeight="true" outlineLevel="0" collapsed="false">
      <c r="A9" s="34" t="s">
        <v>97</v>
      </c>
      <c r="B9" s="39" t="s">
        <v>98</v>
      </c>
      <c r="C9" s="40" t="n">
        <f aca="false">15</f>
        <v>15</v>
      </c>
      <c r="D9" s="16" t="str">
        <f aca="false">IF(C9&lt;=30,"OPERATIONAL",IF(C9&lt;=60,"DEGRADED","FAILED"))</f>
        <v>OPERATIONAL</v>
      </c>
    </row>
    <row r="11" customFormat="false" ht="15" hidden="false" customHeight="true" outlineLevel="0" collapsed="false">
      <c r="A11" s="42" t="s">
        <v>99</v>
      </c>
      <c r="B11" s="43" t="s">
        <v>100</v>
      </c>
      <c r="C11" s="43" t="s">
        <v>101</v>
      </c>
    </row>
    <row r="12" customFormat="false" ht="15" hidden="false" customHeight="true" outlineLevel="0" collapsed="false">
      <c r="A12" s="39" t="s">
        <v>102</v>
      </c>
      <c r="B12" s="21" t="n">
        <v>0</v>
      </c>
      <c r="C12" s="21" t="n">
        <v>12</v>
      </c>
    </row>
    <row r="13" customFormat="false" ht="15" hidden="false" customHeight="true" outlineLevel="0" collapsed="false">
      <c r="A13" s="39" t="s">
        <v>103</v>
      </c>
      <c r="B13" s="21" t="n">
        <v>0</v>
      </c>
      <c r="C13" s="21" t="n">
        <v>15</v>
      </c>
    </row>
    <row r="14" customFormat="false" ht="15" hidden="false" customHeight="true" outlineLevel="0" collapsed="false">
      <c r="A14" s="39" t="s">
        <v>104</v>
      </c>
      <c r="B14" s="21" t="n">
        <v>1</v>
      </c>
      <c r="C14" s="21" t="n">
        <v>14</v>
      </c>
    </row>
    <row r="15" customFormat="false" ht="15" hidden="false" customHeight="true" outlineLevel="0" collapsed="false">
      <c r="A15" s="39" t="s">
        <v>105</v>
      </c>
      <c r="B15" s="21" t="n">
        <v>0</v>
      </c>
      <c r="C15" s="21" t="n">
        <v>13</v>
      </c>
    </row>
    <row r="16" customFormat="false" ht="15" hidden="false" customHeight="true" outlineLevel="0" collapsed="false">
      <c r="A16" s="39" t="s">
        <v>106</v>
      </c>
      <c r="B16" s="21" t="n">
        <v>0</v>
      </c>
      <c r="C16" s="21" t="n">
        <v>16</v>
      </c>
    </row>
    <row r="17" customFormat="false" ht="15" hidden="false" customHeight="true" outlineLevel="0" collapsed="false">
      <c r="A17" s="39" t="s">
        <v>107</v>
      </c>
      <c r="B17" s="21" t="n">
        <v>0</v>
      </c>
      <c r="C17" s="21" t="n">
        <v>15</v>
      </c>
    </row>
    <row r="18" customFormat="false" ht="15" hidden="false" customHeight="true" outlineLevel="0" collapsed="false">
      <c r="A18" s="39" t="s">
        <v>108</v>
      </c>
      <c r="B18" s="21" t="n">
        <v>0</v>
      </c>
      <c r="C18" s="21" t="n">
        <v>14</v>
      </c>
    </row>
    <row r="19" customFormat="false" ht="15" hidden="false" customHeight="true" outlineLevel="0" collapsed="false">
      <c r="A19" s="39" t="s">
        <v>109</v>
      </c>
      <c r="B19" s="21" t="n">
        <v>1</v>
      </c>
      <c r="C19" s="21" t="n">
        <v>15</v>
      </c>
    </row>
    <row r="20" customFormat="false" ht="15" hidden="false" customHeight="true" outlineLevel="0" collapsed="false">
      <c r="A20" s="39" t="s">
        <v>110</v>
      </c>
      <c r="B20" s="21" t="n">
        <v>0</v>
      </c>
      <c r="C20" s="21" t="n">
        <v>13</v>
      </c>
    </row>
    <row r="21" customFormat="false" ht="15" hidden="false" customHeight="true" outlineLevel="0" collapsed="false">
      <c r="A21" s="39" t="s">
        <v>111</v>
      </c>
      <c r="B21" s="21" t="n">
        <v>0</v>
      </c>
      <c r="C21" s="21" t="n">
        <v>14</v>
      </c>
    </row>
  </sheetData>
  <mergeCells count="2">
    <mergeCell ref="A1:G1"/>
    <mergeCell ref="A2:G2"/>
  </mergeCells>
  <conditionalFormatting sqref="D6">
    <cfRule type="cellIs" priority="2" operator="equal" aboveAverage="0" equalAverage="0" bottom="0" percent="0" rank="0" text="" dxfId="4">
      <formula>"OPERATIONAL"</formula>
    </cfRule>
    <cfRule type="cellIs" priority="3" operator="equal" aboveAverage="0" equalAverage="0" bottom="0" percent="0" rank="0" text="" dxfId="6">
      <formula>"DEGRADED"</formula>
    </cfRule>
    <cfRule type="cellIs" priority="4" operator="equal" aboveAverage="0" equalAverage="0" bottom="0" percent="0" rank="0" text="" dxfId="5">
      <formula>"FAILED"</formula>
    </cfRule>
  </conditionalFormatting>
  <conditionalFormatting sqref="D7">
    <cfRule type="cellIs" priority="5" operator="equal" aboveAverage="0" equalAverage="0" bottom="0" percent="0" rank="0" text="" dxfId="4">
      <formula>"OPERATIONAL"</formula>
    </cfRule>
    <cfRule type="cellIs" priority="6" operator="equal" aboveAverage="0" equalAverage="0" bottom="0" percent="0" rank="0" text="" dxfId="6">
      <formula>"DEGRADED"</formula>
    </cfRule>
    <cfRule type="cellIs" priority="7" operator="equal" aboveAverage="0" equalAverage="0" bottom="0" percent="0" rank="0" text="" dxfId="5">
      <formula>"FAILED"</formula>
    </cfRule>
  </conditionalFormatting>
  <conditionalFormatting sqref="D8">
    <cfRule type="cellIs" priority="8" operator="equal" aboveAverage="0" equalAverage="0" bottom="0" percent="0" rank="0" text="" dxfId="4">
      <formula>"OPERATIONAL"</formula>
    </cfRule>
    <cfRule type="cellIs" priority="9" operator="equal" aboveAverage="0" equalAverage="0" bottom="0" percent="0" rank="0" text="" dxfId="6">
      <formula>"DEGRADED"</formula>
    </cfRule>
    <cfRule type="cellIs" priority="10" operator="equal" aboveAverage="0" equalAverage="0" bottom="0" percent="0" rank="0" text="" dxfId="5">
      <formula>"FAILED"</formula>
    </cfRule>
  </conditionalFormatting>
  <conditionalFormatting sqref="D9">
    <cfRule type="cellIs" priority="11" operator="equal" aboveAverage="0" equalAverage="0" bottom="0" percent="0" rank="0" text="" dxfId="4">
      <formula>"OPERATIONAL"</formula>
    </cfRule>
    <cfRule type="cellIs" priority="12" operator="equal" aboveAverage="0" equalAverage="0" bottom="0" percent="0" rank="0" text="" dxfId="6">
      <formula>"DEGRADED"</formula>
    </cfRule>
    <cfRule type="cellIs" priority="13" operator="equal" aboveAverage="0" equalAverage="0" bottom="0" percent="0" rank="0" text="" dxfId="5">
      <formula>"FAILED"</formula>
    </cfRule>
  </conditionalFormatting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16"/>
  </cols>
  <sheetData>
    <row r="1" customFormat="false" ht="30" hidden="false" customHeight="true" outlineLevel="0" collapsed="false">
      <c r="A1" s="2" t="s">
        <v>112</v>
      </c>
      <c r="B1" s="2"/>
      <c r="C1" s="2"/>
      <c r="D1" s="2"/>
    </row>
    <row r="2" customFormat="false" ht="18" hidden="false" customHeight="true" outlineLevel="0" collapsed="false">
      <c r="A2" s="3" t="s">
        <v>113</v>
      </c>
      <c r="B2" s="3"/>
      <c r="C2" s="3"/>
      <c r="D2" s="3"/>
    </row>
    <row r="4" customFormat="false" ht="15" hidden="false" customHeight="true" outlineLevel="0" collapsed="false">
      <c r="A4" s="27" t="s">
        <v>114</v>
      </c>
      <c r="B4" s="27" t="s">
        <v>89</v>
      </c>
    </row>
    <row r="5" customFormat="false" ht="15" hidden="false" customHeight="true" outlineLevel="0" collapsed="false">
      <c r="A5" s="15" t="s">
        <v>115</v>
      </c>
      <c r="B5" s="44" t="s">
        <v>81</v>
      </c>
    </row>
    <row r="6" customFormat="false" ht="15" hidden="false" customHeight="true" outlineLevel="0" collapsed="false">
      <c r="A6" s="15" t="s">
        <v>26</v>
      </c>
      <c r="B6" s="44" t="s">
        <v>116</v>
      </c>
    </row>
    <row r="7" customFormat="false" ht="15" hidden="false" customHeight="true" outlineLevel="0" collapsed="false">
      <c r="A7" s="15" t="s">
        <v>117</v>
      </c>
      <c r="B7" s="44" t="s">
        <v>118</v>
      </c>
    </row>
    <row r="8" customFormat="false" ht="15" hidden="false" customHeight="true" outlineLevel="0" collapsed="false">
      <c r="A8" s="15" t="s">
        <v>119</v>
      </c>
      <c r="B8" s="45" t="n">
        <v>1.0812</v>
      </c>
    </row>
    <row r="9" customFormat="false" ht="15" hidden="false" customHeight="true" outlineLevel="0" collapsed="false">
      <c r="A9" s="15" t="s">
        <v>120</v>
      </c>
      <c r="B9" s="45" t="n">
        <v>1.0856</v>
      </c>
    </row>
    <row r="10" customFormat="false" ht="15" hidden="false" customHeight="true" outlineLevel="0" collapsed="false">
      <c r="A10" s="15" t="s">
        <v>121</v>
      </c>
      <c r="B10" s="45" t="n">
        <v>1.0805</v>
      </c>
    </row>
    <row r="11" customFormat="false" ht="15" hidden="false" customHeight="true" outlineLevel="0" collapsed="false">
      <c r="A11" s="15" t="s">
        <v>122</v>
      </c>
      <c r="B11" s="45" t="n">
        <v>1.0847</v>
      </c>
    </row>
    <row r="12" customFormat="false" ht="15" hidden="false" customHeight="true" outlineLevel="0" collapsed="false">
      <c r="A12" s="15" t="s">
        <v>123</v>
      </c>
      <c r="B12" s="45" t="n">
        <v>1.083</v>
      </c>
    </row>
    <row r="13" customFormat="false" ht="15" hidden="false" customHeight="true" outlineLevel="0" collapsed="false">
      <c r="A13" s="15" t="s">
        <v>124</v>
      </c>
      <c r="B13" s="45" t="n">
        <v>1.0798</v>
      </c>
    </row>
    <row r="14" customFormat="false" ht="15" hidden="false" customHeight="true" outlineLevel="0" collapsed="false">
      <c r="A14" s="15" t="s">
        <v>125</v>
      </c>
      <c r="B14" s="45" t="n">
        <v>9</v>
      </c>
    </row>
    <row r="15" customFormat="false" ht="15" hidden="false" customHeight="true" outlineLevel="0" collapsed="false">
      <c r="A15" s="15" t="s">
        <v>126</v>
      </c>
      <c r="B15" s="44" t="s">
        <v>127</v>
      </c>
    </row>
    <row r="16" customFormat="false" ht="15" hidden="false" customHeight="true" outlineLevel="0" collapsed="false">
      <c r="A16" s="15" t="s">
        <v>128</v>
      </c>
      <c r="B16" s="44" t="s">
        <v>129</v>
      </c>
    </row>
    <row r="17" customFormat="false" ht="15" hidden="false" customHeight="true" outlineLevel="0" collapsed="false">
      <c r="A17" s="15" t="s">
        <v>130</v>
      </c>
      <c r="B17" s="44" t="n">
        <v>8</v>
      </c>
    </row>
    <row r="19" customFormat="false" ht="15" hidden="false" customHeight="true" outlineLevel="0" collapsed="false">
      <c r="A19" s="46" t="s">
        <v>131</v>
      </c>
      <c r="B19" s="46"/>
      <c r="C19" s="46"/>
      <c r="D19" s="46"/>
    </row>
  </sheetData>
  <mergeCells count="3">
    <mergeCell ref="A1:D1"/>
    <mergeCell ref="A2:D2"/>
    <mergeCell ref="A19:D19"/>
  </mergeCells>
  <dataValidations count="4">
    <dataValidation allowBlank="false" errorStyle="stop" operator="between" showDropDown="false" showErrorMessage="false" showInputMessage="false" sqref="B5" type="list">
      <formula1>"EUR/USD,GBP/USD,USD/JPY"</formula1>
      <formula2>0</formula2>
    </dataValidation>
    <dataValidation allowBlank="false" errorStyle="stop" operator="between" showDropDown="false" showErrorMessage="false" showInputMessage="false" sqref="B15" type="list">
      <formula1>"Yes,No"</formula1>
      <formula2>0</formula2>
    </dataValidation>
    <dataValidation allowBlank="false" errorStyle="stop" operator="between" showDropDown="false" showErrorMessage="false" showInputMessage="false" sqref="B16" type="list">
      <formula1>"BUY,SELL"</formula1>
      <formula2>0</formula2>
    </dataValidation>
    <dataValidation allowBlank="false" error="High must be positive" errorStyle="stop" operator="greaterThan" showDropDown="false" showErrorMessage="false" showInputMessage="false" sqref="B9" type="decimal">
      <formula1>0</formula1>
      <formula2>0</formula2>
    </dataValidation>
  </dataValidations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34"/>
    <col collapsed="false" customWidth="true" hidden="false" outlineLevel="0" max="3" min="3" style="1" width="14"/>
    <col collapsed="false" customWidth="true" hidden="false" outlineLevel="0" max="4" min="4" style="1" width="10"/>
  </cols>
  <sheetData>
    <row r="1" customFormat="false" ht="30" hidden="false" customHeight="true" outlineLevel="0" collapsed="false">
      <c r="A1" s="2" t="s">
        <v>132</v>
      </c>
      <c r="B1" s="2"/>
      <c r="C1" s="2"/>
      <c r="D1" s="2"/>
    </row>
    <row r="2" customFormat="false" ht="18" hidden="false" customHeight="true" outlineLevel="0" collapsed="false">
      <c r="A2" s="3" t="s">
        <v>133</v>
      </c>
      <c r="B2" s="3"/>
      <c r="C2" s="3"/>
      <c r="D2" s="3"/>
    </row>
    <row r="4" customFormat="false" ht="15" hidden="false" customHeight="true" outlineLevel="0" collapsed="false">
      <c r="A4" s="47" t="s">
        <v>134</v>
      </c>
      <c r="B4" s="47"/>
      <c r="C4" s="47"/>
      <c r="D4" s="47"/>
    </row>
    <row r="5" customFormat="false" ht="15" hidden="false" customHeight="true" outlineLevel="0" collapsed="false">
      <c r="A5" s="15" t="s">
        <v>135</v>
      </c>
      <c r="B5" s="26" t="n">
        <f aca="false">IF(Input!B5="USD/JPY",0.01,0.0001)</f>
        <v>0.0001</v>
      </c>
    </row>
    <row r="6" customFormat="false" ht="15" hidden="false" customHeight="true" outlineLevel="0" collapsed="false">
      <c r="A6" s="15" t="s">
        <v>136</v>
      </c>
      <c r="B6" s="48" t="n">
        <f aca="false">ABS(Input!B11-Input!B8)</f>
        <v>0.00350000000000006</v>
      </c>
    </row>
    <row r="7" customFormat="false" ht="15" hidden="false" customHeight="true" outlineLevel="0" collapsed="false">
      <c r="A7" s="15" t="s">
        <v>137</v>
      </c>
      <c r="B7" s="48" t="n">
        <f aca="false">Input!B9-Input!B10</f>
        <v>0.00509999999999988</v>
      </c>
    </row>
    <row r="8" customFormat="false" ht="15" hidden="false" customHeight="true" outlineLevel="0" collapsed="false">
      <c r="A8" s="15" t="s">
        <v>138</v>
      </c>
      <c r="B8" s="49" t="n">
        <f aca="false">IF(B7=0,0,B6/B7)</f>
        <v>0.686274509803949</v>
      </c>
    </row>
    <row r="9" customFormat="false" ht="15" hidden="false" customHeight="true" outlineLevel="0" collapsed="false">
      <c r="A9" s="15" t="s">
        <v>139</v>
      </c>
      <c r="B9" s="48" t="n">
        <f aca="false">Historical_Data!O151</f>
        <v>0.00077214285714284</v>
      </c>
    </row>
    <row r="10" customFormat="false" ht="15" hidden="false" customHeight="true" outlineLevel="0" collapsed="false">
      <c r="A10" s="15" t="s">
        <v>140</v>
      </c>
      <c r="B10" s="48" t="n">
        <f aca="false">Historical_Data!M151</f>
        <v>0.00180642857142857</v>
      </c>
    </row>
    <row r="11" customFormat="false" ht="15" hidden="false" customHeight="true" outlineLevel="0" collapsed="false">
      <c r="A11" s="15" t="s">
        <v>141</v>
      </c>
      <c r="B11" s="48" t="n">
        <f aca="false">Historical_Data!N151</f>
        <v>1.05915711444079</v>
      </c>
    </row>
    <row r="12" customFormat="false" ht="15" hidden="false" customHeight="true" outlineLevel="0" collapsed="false">
      <c r="A12" s="15" t="s">
        <v>142</v>
      </c>
      <c r="B12" s="48" t="n">
        <f aca="false">Historical_Data!N150</f>
        <v>1.05939982588487</v>
      </c>
    </row>
    <row r="13" customFormat="false" ht="15" hidden="false" customHeight="true" outlineLevel="0" collapsed="false">
      <c r="A13" s="15" t="s">
        <v>143</v>
      </c>
      <c r="B13" s="48" t="n">
        <f aca="false">Input!B11*0.0909090909090909+B11*(1-0.0909090909090909)</f>
        <v>1.06147919494617</v>
      </c>
    </row>
    <row r="14" customFormat="false" ht="15" hidden="false" customHeight="true" outlineLevel="0" collapsed="false">
      <c r="A14" s="15" t="s">
        <v>144</v>
      </c>
      <c r="B14" s="48" t="n">
        <f aca="false">Historical_Data!Q151</f>
        <v>0.00154800000000002</v>
      </c>
    </row>
    <row r="15" customFormat="false" ht="15" hidden="false" customHeight="true" outlineLevel="0" collapsed="false">
      <c r="A15" s="15" t="s">
        <v>145</v>
      </c>
      <c r="B15" s="48" t="n">
        <f aca="false">B10/Input!B11</f>
        <v>0.00166537159714997</v>
      </c>
    </row>
    <row r="16" customFormat="false" ht="15" hidden="false" customHeight="true" outlineLevel="0" collapsed="false">
      <c r="A16" s="15" t="s">
        <v>146</v>
      </c>
      <c r="B16" s="49" t="n">
        <f aca="false">IF(B9=0,0,B6/B9)</f>
        <v>4.5328399629974</v>
      </c>
    </row>
    <row r="17" customFormat="false" ht="15" hidden="false" customHeight="true" outlineLevel="0" collapsed="false">
      <c r="A17" s="15" t="s">
        <v>147</v>
      </c>
      <c r="B17" s="49" t="n">
        <f aca="false">MIN(1,MAX(0,(B16-1)/2))</f>
        <v>1</v>
      </c>
    </row>
    <row r="18" customFormat="false" ht="15" hidden="false" customHeight="true" outlineLevel="0" collapsed="false">
      <c r="A18" s="15" t="s">
        <v>148</v>
      </c>
      <c r="B18" s="50" t="n">
        <f aca="false">IF(B17&gt;=0.85,3,IF(B17&gt;=0.5,2,1))</f>
        <v>3</v>
      </c>
    </row>
    <row r="19" customFormat="false" ht="15" hidden="false" customHeight="true" outlineLevel="0" collapsed="false">
      <c r="A19" s="47" t="s">
        <v>149</v>
      </c>
      <c r="B19" s="47"/>
      <c r="C19" s="47"/>
      <c r="D19" s="47"/>
    </row>
    <row r="20" customFormat="false" ht="15" hidden="false" customHeight="true" outlineLevel="0" collapsed="false">
      <c r="A20" s="20" t="s">
        <v>36</v>
      </c>
      <c r="B20" s="20" t="s">
        <v>37</v>
      </c>
      <c r="C20" s="20" t="s">
        <v>38</v>
      </c>
      <c r="D20" s="20" t="s">
        <v>39</v>
      </c>
    </row>
    <row r="21" customFormat="false" ht="21.75" hidden="false" customHeight="true" outlineLevel="0" collapsed="false">
      <c r="A21" s="51" t="s">
        <v>41</v>
      </c>
      <c r="B21" s="25" t="s">
        <v>150</v>
      </c>
      <c r="C21" s="49" t="n">
        <f aca="false">B7/B14</f>
        <v>3.29457364341074</v>
      </c>
      <c r="D21" s="16" t="str">
        <f aca="false">IF(C21&gt;=1,"PASS","FAIL")</f>
        <v>PASS</v>
      </c>
    </row>
    <row r="22" customFormat="false" ht="15" hidden="false" customHeight="true" outlineLevel="0" collapsed="false">
      <c r="A22" s="51" t="s">
        <v>44</v>
      </c>
      <c r="B22" s="25" t="s">
        <v>151</v>
      </c>
      <c r="C22" s="26" t="n">
        <f aca="false">B15</f>
        <v>0.00166537159714997</v>
      </c>
      <c r="D22" s="16" t="str">
        <f aca="false">IF(AND(C22&gt;=0.0002,C22&lt;=0.0035),"PASS","FAIL")</f>
        <v>PASS</v>
      </c>
    </row>
    <row r="23" customFormat="false" ht="15" hidden="false" customHeight="true" outlineLevel="0" collapsed="false">
      <c r="A23" s="51" t="s">
        <v>47</v>
      </c>
      <c r="B23" s="25" t="s">
        <v>152</v>
      </c>
      <c r="C23" s="49" t="n">
        <f aca="false">B8</f>
        <v>0.686274509803949</v>
      </c>
      <c r="D23" s="16" t="str">
        <f aca="false">IF(C23&gt;=0.35,"PASS","FAIL")</f>
        <v>PASS</v>
      </c>
    </row>
    <row r="24" customFormat="false" ht="21.75" hidden="false" customHeight="true" outlineLevel="0" collapsed="false">
      <c r="A24" s="51" t="s">
        <v>50</v>
      </c>
      <c r="B24" s="25" t="s">
        <v>153</v>
      </c>
      <c r="C24" s="48" t="n">
        <f aca="false">B13</f>
        <v>1.06147919494617</v>
      </c>
      <c r="D24" s="16" t="str">
        <f aca="false">IF(Input!B16="BUY",IF(AND(Input!B11&gt;=B13,B13&gt;B12),"PASS","FAIL"),IF(AND(Input!B11&lt;=B13,B13&lt;B12),"PASS","FAIL"))</f>
        <v>PASS</v>
      </c>
    </row>
    <row r="25" customFormat="false" ht="15" hidden="false" customHeight="true" outlineLevel="0" collapsed="false">
      <c r="A25" s="51" t="s">
        <v>53</v>
      </c>
      <c r="B25" s="25" t="s">
        <v>154</v>
      </c>
      <c r="C25" s="49" t="n">
        <f aca="false">B16</f>
        <v>4.5328399629974</v>
      </c>
      <c r="D25" s="16" t="str">
        <f aca="false">IF(C25&gt;=1.5,"PASS","FAIL")</f>
        <v>PASS</v>
      </c>
    </row>
    <row r="26" customFormat="false" ht="15" hidden="false" customHeight="true" outlineLevel="0" collapsed="false">
      <c r="A26" s="51" t="s">
        <v>56</v>
      </c>
      <c r="B26" s="25" t="s">
        <v>57</v>
      </c>
      <c r="C26" s="48" t="n">
        <f aca="false">Input!B14*B5</f>
        <v>0.0009</v>
      </c>
      <c r="D26" s="16" t="str">
        <f aca="false">IF(C26&gt;=0.4*B10,"PASS","FAIL")</f>
        <v>PASS</v>
      </c>
    </row>
    <row r="27" customFormat="false" ht="21.75" hidden="false" customHeight="true" outlineLevel="0" collapsed="false">
      <c r="A27" s="51" t="s">
        <v>59</v>
      </c>
      <c r="B27" s="25" t="s">
        <v>155</v>
      </c>
      <c r="C27" s="50" t="n">
        <f aca="false">IF(Input!B15="Yes",1,0)</f>
        <v>1</v>
      </c>
      <c r="D27" s="16" t="str">
        <f aca="false">IF(C27=1,"PASS","FAIL")</f>
        <v>PASS</v>
      </c>
    </row>
    <row r="28" customFormat="false" ht="15" hidden="false" customHeight="true" outlineLevel="0" collapsed="false">
      <c r="A28" s="51" t="s">
        <v>62</v>
      </c>
      <c r="B28" s="25" t="s">
        <v>156</v>
      </c>
      <c r="C28" s="50" t="n">
        <f aca="false">Input!B17</f>
        <v>8</v>
      </c>
      <c r="D28" s="16" t="str">
        <f aca="false">IF(AND(C28&gt;=5,NOT(AND(Trade_History!K38="Loss",Trade_History!K37="Loss"))),"PASS","FAIL")</f>
        <v>PASS</v>
      </c>
    </row>
    <row r="29" customFormat="false" ht="15" hidden="false" customHeight="true" outlineLevel="0" collapsed="false">
      <c r="A29" s="47" t="s">
        <v>157</v>
      </c>
      <c r="B29" s="47"/>
      <c r="C29" s="47"/>
      <c r="D29" s="47"/>
    </row>
    <row r="30" customFormat="false" ht="15" hidden="false" customHeight="true" outlineLevel="0" collapsed="false">
      <c r="A30" s="15" t="s">
        <v>158</v>
      </c>
      <c r="B30" s="50" t="n">
        <f aca="false">SUMPRODUCT(--((D21="PASS")+(D22="PASS")+(D23="PASS")+(D24="PASS")+(D25="PASS")+(D26="PASS")+(D27="PASS")+(D28="PASS")))</f>
        <v>8</v>
      </c>
    </row>
    <row r="31" customFormat="false" ht="15" hidden="false" customHeight="true" outlineLevel="0" collapsed="false">
      <c r="A31" s="15" t="s">
        <v>159</v>
      </c>
      <c r="B31" s="40" t="str">
        <f aca="false">IF(AND(D21="PASS",D22="PASS",D23="PASS",D24="PASS",D25="PASS",D26="PASS",D27="PASS",D28="PASS"),"TAKE","REJECT")</f>
        <v>TAKE</v>
      </c>
    </row>
    <row r="32" customFormat="false" ht="15" hidden="false" customHeight="true" outlineLevel="0" collapsed="false">
      <c r="A32" s="15" t="s">
        <v>19</v>
      </c>
      <c r="B32" s="40" t="str">
        <f aca="false">Input!B16</f>
        <v>BUY</v>
      </c>
    </row>
    <row r="33" customFormat="false" ht="15" hidden="false" customHeight="true" outlineLevel="0" collapsed="false">
      <c r="A33" s="15" t="s">
        <v>160</v>
      </c>
      <c r="B33" s="48" t="n">
        <f aca="false">Input!B11</f>
        <v>1.0847</v>
      </c>
    </row>
    <row r="34" customFormat="false" ht="15" hidden="false" customHeight="true" outlineLevel="0" collapsed="false">
      <c r="A34" s="15" t="s">
        <v>161</v>
      </c>
      <c r="B34" s="52" t="n">
        <f aca="false">IF(B17&gt;0.8,0.8,IF(B17&gt;=0.6,0.5,IF(B17&gt;=0.4,0.3,0.2)))</f>
        <v>0.8</v>
      </c>
    </row>
    <row r="35" customFormat="false" ht="15" hidden="false" customHeight="true" outlineLevel="0" collapsed="false">
      <c r="A35" s="15" t="s">
        <v>162</v>
      </c>
      <c r="B35" s="48" t="n">
        <f aca="false">IF(Logic!B32="BUY",MIN(Input!B13,B33)-B34*B10,MAX(Input!B12,B33)+B34*B10)</f>
        <v>1.07835485714286</v>
      </c>
    </row>
    <row r="36" customFormat="false" ht="15" hidden="false" customHeight="true" outlineLevel="0" collapsed="false">
      <c r="A36" s="15" t="s">
        <v>163</v>
      </c>
      <c r="B36" s="48" t="n">
        <f aca="false">MAX(ABS(B33-B35),2*B10)</f>
        <v>0.00634514285714283</v>
      </c>
    </row>
    <row r="37" customFormat="false" ht="15" hidden="false" customHeight="true" outlineLevel="0" collapsed="false">
      <c r="A37" s="15" t="s">
        <v>23</v>
      </c>
      <c r="B37" s="48" t="n">
        <f aca="false">IF(B32="BUY",B33-B36,B33+B36)</f>
        <v>1.07835485714286</v>
      </c>
    </row>
    <row r="38" customFormat="false" ht="15" hidden="false" customHeight="true" outlineLevel="0" collapsed="false">
      <c r="A38" s="15" t="s">
        <v>24</v>
      </c>
      <c r="B38" s="48" t="n">
        <f aca="false">IF(B32="BUY",B33+MIN(B18*B36,6*B10),B33-MIN(B18*B36,6*B10))</f>
        <v>1.09553857142857</v>
      </c>
    </row>
  </sheetData>
  <mergeCells count="5">
    <mergeCell ref="A1:D1"/>
    <mergeCell ref="A2:D2"/>
    <mergeCell ref="A4:D4"/>
    <mergeCell ref="A19:D19"/>
    <mergeCell ref="A29:D29"/>
  </mergeCells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42"/>
    <col collapsed="false" customWidth="true" hidden="false" outlineLevel="0" max="3" min="3" style="1" width="14"/>
  </cols>
  <sheetData>
    <row r="1" customFormat="false" ht="30" hidden="false" customHeight="true" outlineLevel="0" collapsed="false">
      <c r="A1" s="2" t="s">
        <v>164</v>
      </c>
      <c r="B1" s="2"/>
      <c r="C1" s="2"/>
      <c r="D1" s="2"/>
    </row>
    <row r="2" customFormat="false" ht="18" hidden="false" customHeight="true" outlineLevel="0" collapsed="false">
      <c r="A2" s="3" t="s">
        <v>165</v>
      </c>
      <c r="B2" s="3"/>
      <c r="C2" s="3"/>
      <c r="D2" s="3"/>
    </row>
    <row r="4" customFormat="false" ht="15" hidden="false" customHeight="true" outlineLevel="0" collapsed="false">
      <c r="A4" s="20" t="s">
        <v>166</v>
      </c>
      <c r="B4" s="20" t="s">
        <v>167</v>
      </c>
      <c r="C4" s="20" t="s">
        <v>168</v>
      </c>
    </row>
    <row r="5" customFormat="false" ht="15" hidden="false" customHeight="true" outlineLevel="0" collapsed="false">
      <c r="A5" s="15" t="s">
        <v>169</v>
      </c>
      <c r="B5" s="25" t="s">
        <v>170</v>
      </c>
      <c r="C5" s="18" t="n">
        <f aca="false">Logic!B6</f>
        <v>0.00350000000000006</v>
      </c>
    </row>
    <row r="6" customFormat="false" ht="15" hidden="false" customHeight="true" outlineLevel="0" collapsed="false">
      <c r="A6" s="15" t="s">
        <v>171</v>
      </c>
      <c r="B6" s="25" t="s">
        <v>172</v>
      </c>
      <c r="C6" s="18" t="n">
        <f aca="false">Logic!B9</f>
        <v>0.00077214285714284</v>
      </c>
    </row>
    <row r="7" customFormat="false" ht="15" hidden="false" customHeight="true" outlineLevel="0" collapsed="false">
      <c r="A7" s="15" t="s">
        <v>173</v>
      </c>
      <c r="B7" s="25" t="s">
        <v>174</v>
      </c>
      <c r="C7" s="53" t="n">
        <f aca="false">Logic!B16</f>
        <v>4.5328399629974</v>
      </c>
    </row>
    <row r="8" customFormat="false" ht="15" hidden="false" customHeight="true" outlineLevel="0" collapsed="false">
      <c r="A8" s="15" t="s">
        <v>175</v>
      </c>
      <c r="B8" s="25" t="s">
        <v>176</v>
      </c>
      <c r="C8" s="53" t="n">
        <f aca="false">Logic!B17</f>
        <v>1</v>
      </c>
    </row>
    <row r="9" customFormat="false" ht="15" hidden="false" customHeight="true" outlineLevel="0" collapsed="false">
      <c r="A9" s="15" t="s">
        <v>177</v>
      </c>
      <c r="B9" s="25" t="s">
        <v>178</v>
      </c>
      <c r="C9" s="16" t="str">
        <f aca="false">Logic!B18&amp;":1"</f>
        <v>3:1</v>
      </c>
    </row>
    <row r="10" customFormat="false" ht="15" hidden="false" customHeight="true" outlineLevel="0" collapsed="false">
      <c r="A10" s="15" t="s">
        <v>179</v>
      </c>
      <c r="B10" s="25" t="s">
        <v>180</v>
      </c>
      <c r="C10" s="54" t="n">
        <f aca="false">Logic!B34</f>
        <v>0.8</v>
      </c>
    </row>
    <row r="11" customFormat="false" ht="15" hidden="false" customHeight="true" outlineLevel="0" collapsed="false">
      <c r="A11" s="15" t="s">
        <v>181</v>
      </c>
      <c r="B11" s="25" t="s">
        <v>182</v>
      </c>
      <c r="C11" s="18" t="n">
        <f aca="false">Logic!B36</f>
        <v>0.00634514285714283</v>
      </c>
    </row>
    <row r="12" customFormat="false" ht="15" hidden="false" customHeight="true" outlineLevel="0" collapsed="false">
      <c r="A12" s="15" t="s">
        <v>183</v>
      </c>
      <c r="B12" s="25" t="s">
        <v>184</v>
      </c>
      <c r="C12" s="18" t="n">
        <f aca="false">Logic!B38</f>
        <v>1.09553857142857</v>
      </c>
    </row>
    <row r="14" customFormat="false" ht="15" hidden="false" customHeight="true" outlineLevel="0" collapsed="false">
      <c r="A14" s="7" t="s">
        <v>185</v>
      </c>
    </row>
    <row r="15" customFormat="false" ht="15" hidden="false" customHeight="true" outlineLevel="0" collapsed="false">
      <c r="A15" s="55" t="s">
        <v>186</v>
      </c>
      <c r="B15" s="55"/>
      <c r="C15" s="55"/>
    </row>
    <row r="16" customFormat="false" ht="15" hidden="false" customHeight="true" outlineLevel="0" collapsed="false">
      <c r="A16" s="55" t="s">
        <v>187</v>
      </c>
      <c r="B16" s="55"/>
      <c r="C16" s="55"/>
    </row>
    <row r="17" customFormat="false" ht="15" hidden="false" customHeight="true" outlineLevel="0" collapsed="false">
      <c r="A17" s="55" t="s">
        <v>188</v>
      </c>
      <c r="B17" s="55"/>
      <c r="C17" s="55"/>
    </row>
    <row r="18" customFormat="false" ht="15" hidden="false" customHeight="true" outlineLevel="0" collapsed="false">
      <c r="A18" s="55" t="s">
        <v>189</v>
      </c>
      <c r="B18" s="55"/>
      <c r="C18" s="55"/>
    </row>
    <row r="19" customFormat="false" ht="15" hidden="false" customHeight="true" outlineLevel="0" collapsed="false">
      <c r="A19" s="55" t="s">
        <v>190</v>
      </c>
      <c r="B19" s="55"/>
      <c r="C19" s="55"/>
    </row>
    <row r="20" customFormat="false" ht="15" hidden="false" customHeight="true" outlineLevel="0" collapsed="false">
      <c r="A20" s="55" t="s">
        <v>191</v>
      </c>
      <c r="B20" s="55"/>
      <c r="C20" s="55"/>
    </row>
    <row r="21" customFormat="false" ht="15" hidden="false" customHeight="true" outlineLevel="0" collapsed="false">
      <c r="A21" s="55" t="s">
        <v>192</v>
      </c>
      <c r="B21" s="55"/>
      <c r="C21" s="55"/>
    </row>
    <row r="22" customFormat="false" ht="15" hidden="false" customHeight="true" outlineLevel="0" collapsed="false">
      <c r="A22" s="55" t="s">
        <v>193</v>
      </c>
      <c r="B22" s="55"/>
      <c r="C22" s="55"/>
    </row>
  </sheetData>
  <mergeCells count="10">
    <mergeCell ref="A1:D1"/>
    <mergeCell ref="A2:D2"/>
    <mergeCell ref="A15:C15"/>
    <mergeCell ref="A16:C16"/>
    <mergeCell ref="A17:C17"/>
    <mergeCell ref="A18:C18"/>
    <mergeCell ref="A19:C19"/>
    <mergeCell ref="A20:C20"/>
    <mergeCell ref="A21:C21"/>
    <mergeCell ref="A22:C22"/>
  </mergeCells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11"/>
    <col collapsed="false" customWidth="true" hidden="false" outlineLevel="0" max="3" min="3" style="1" width="9"/>
    <col collapsed="false" customWidth="true" hidden="false" outlineLevel="0" max="4" min="4" style="1" width="10"/>
    <col collapsed="false" customWidth="true" hidden="false" outlineLevel="0" max="7" min="5" style="1" width="9"/>
    <col collapsed="false" customWidth="true" hidden="false" outlineLevel="0" max="8" min="8" style="1" width="8"/>
    <col collapsed="false" customWidth="true" hidden="false" outlineLevel="0" max="9" min="9" style="1" width="10"/>
    <col collapsed="false" customWidth="true" hidden="false" outlineLevel="0" max="11" min="10" style="1" width="9"/>
    <col collapsed="false" customWidth="true" hidden="false" outlineLevel="0" max="12" min="12" style="1" width="10"/>
    <col collapsed="false" customWidth="true" hidden="false" outlineLevel="0" max="13" min="13" style="1" width="11"/>
    <col collapsed="false" customWidth="true" hidden="false" outlineLevel="0" max="14" min="14" style="1" width="9"/>
    <col collapsed="false" customWidth="true" hidden="false" outlineLevel="0" max="15" min="15" style="1" width="10"/>
  </cols>
  <sheetData>
    <row r="1" customFormat="false" ht="15" hidden="false" customHeight="true" outlineLevel="0" collapsed="false">
      <c r="A1" s="56" t="s">
        <v>194</v>
      </c>
      <c r="B1" s="56" t="s">
        <v>26</v>
      </c>
      <c r="C1" s="56" t="s">
        <v>27</v>
      </c>
      <c r="D1" s="56" t="s">
        <v>19</v>
      </c>
      <c r="E1" s="56" t="s">
        <v>22</v>
      </c>
      <c r="F1" s="56" t="s">
        <v>195</v>
      </c>
      <c r="G1" s="56" t="s">
        <v>196</v>
      </c>
      <c r="H1" s="56" t="s">
        <v>197</v>
      </c>
      <c r="I1" s="56" t="s">
        <v>20</v>
      </c>
      <c r="J1" s="56" t="s">
        <v>198</v>
      </c>
      <c r="K1" s="56" t="s">
        <v>31</v>
      </c>
      <c r="L1" s="56" t="s">
        <v>32</v>
      </c>
      <c r="M1" s="56" t="s">
        <v>199</v>
      </c>
      <c r="N1" s="56" t="s">
        <v>200</v>
      </c>
      <c r="O1" s="56" t="s">
        <v>201</v>
      </c>
    </row>
    <row r="2" customFormat="false" ht="15" hidden="false" customHeight="true" outlineLevel="0" collapsed="false">
      <c r="A2" s="21" t="n">
        <v>1</v>
      </c>
      <c r="B2" s="21" t="s">
        <v>202</v>
      </c>
      <c r="C2" s="21" t="s">
        <v>81</v>
      </c>
      <c r="D2" s="21" t="s">
        <v>203</v>
      </c>
      <c r="E2" s="57" t="n">
        <v>1.08598</v>
      </c>
      <c r="F2" s="57" t="n">
        <v>1.08795</v>
      </c>
      <c r="G2" s="57" t="n">
        <v>1.08204</v>
      </c>
      <c r="H2" s="21" t="n">
        <v>2</v>
      </c>
      <c r="I2" s="22" t="n">
        <v>0.58</v>
      </c>
      <c r="J2" s="21" t="n">
        <v>2.17</v>
      </c>
      <c r="K2" s="58" t="s">
        <v>204</v>
      </c>
      <c r="L2" s="23" t="n">
        <v>-19.7</v>
      </c>
      <c r="M2" s="59" t="n">
        <f aca="false">L2</f>
        <v>-19.7</v>
      </c>
      <c r="N2" s="59" t="n">
        <f aca="false">MAX($M$2:M2)</f>
        <v>-19.7</v>
      </c>
      <c r="O2" s="59" t="n">
        <f aca="false">N2-M2</f>
        <v>0</v>
      </c>
    </row>
    <row r="3" customFormat="false" ht="15" hidden="false" customHeight="true" outlineLevel="0" collapsed="false">
      <c r="A3" s="21" t="n">
        <v>2</v>
      </c>
      <c r="B3" s="21" t="s">
        <v>205</v>
      </c>
      <c r="C3" s="21" t="s">
        <v>81</v>
      </c>
      <c r="D3" s="21" t="s">
        <v>203</v>
      </c>
      <c r="E3" s="57" t="n">
        <v>1.07874</v>
      </c>
      <c r="F3" s="57" t="n">
        <v>1.08122</v>
      </c>
      <c r="G3" s="57" t="n">
        <v>1.07626</v>
      </c>
      <c r="H3" s="21" t="n">
        <v>1</v>
      </c>
      <c r="I3" s="22" t="n">
        <v>0.45</v>
      </c>
      <c r="J3" s="21" t="n">
        <v>1.9</v>
      </c>
      <c r="K3" s="58" t="s">
        <v>204</v>
      </c>
      <c r="L3" s="23" t="n">
        <v>-24.8</v>
      </c>
      <c r="M3" s="59" t="n">
        <f aca="false">M2+L3</f>
        <v>-44.5</v>
      </c>
      <c r="N3" s="59" t="n">
        <f aca="false">MAX($M$2:M3)</f>
        <v>-19.7</v>
      </c>
      <c r="O3" s="59" t="n">
        <f aca="false">N3-M3</f>
        <v>24.8</v>
      </c>
    </row>
    <row r="4" customFormat="false" ht="15" hidden="false" customHeight="true" outlineLevel="0" collapsed="false">
      <c r="A4" s="21" t="n">
        <v>3</v>
      </c>
      <c r="B4" s="21" t="s">
        <v>206</v>
      </c>
      <c r="C4" s="21" t="s">
        <v>83</v>
      </c>
      <c r="D4" s="21" t="s">
        <v>129</v>
      </c>
      <c r="E4" s="57" t="n">
        <v>150.415</v>
      </c>
      <c r="F4" s="57" t="n">
        <v>150.224</v>
      </c>
      <c r="G4" s="57" t="n">
        <v>150.988</v>
      </c>
      <c r="H4" s="21" t="n">
        <v>3</v>
      </c>
      <c r="I4" s="22" t="n">
        <v>0.9</v>
      </c>
      <c r="J4" s="21" t="n">
        <v>2.8</v>
      </c>
      <c r="K4" s="58" t="s">
        <v>207</v>
      </c>
      <c r="L4" s="23" t="n">
        <v>57.3</v>
      </c>
      <c r="M4" s="59" t="n">
        <f aca="false">M3+L4</f>
        <v>12.8</v>
      </c>
      <c r="N4" s="59" t="n">
        <f aca="false">MAX($M$2:M4)</f>
        <v>12.8</v>
      </c>
      <c r="O4" s="59" t="n">
        <f aca="false">N4-M4</f>
        <v>0</v>
      </c>
    </row>
    <row r="5" customFormat="false" ht="15" hidden="false" customHeight="true" outlineLevel="0" collapsed="false">
      <c r="A5" s="21" t="n">
        <v>4</v>
      </c>
      <c r="B5" s="21" t="s">
        <v>208</v>
      </c>
      <c r="C5" s="21" t="s">
        <v>81</v>
      </c>
      <c r="D5" s="21" t="s">
        <v>129</v>
      </c>
      <c r="E5" s="57" t="n">
        <v>1.07367</v>
      </c>
      <c r="F5" s="57" t="n">
        <v>1.0716</v>
      </c>
      <c r="G5" s="57" t="n">
        <v>1.07988</v>
      </c>
      <c r="H5" s="21" t="n">
        <v>3</v>
      </c>
      <c r="I5" s="22" t="n">
        <v>0.87</v>
      </c>
      <c r="J5" s="21" t="n">
        <v>2.74</v>
      </c>
      <c r="K5" s="58" t="s">
        <v>204</v>
      </c>
      <c r="L5" s="23" t="n">
        <v>-20.7</v>
      </c>
      <c r="M5" s="59" t="n">
        <f aca="false">M4+L5</f>
        <v>-7.9</v>
      </c>
      <c r="N5" s="59" t="n">
        <f aca="false">MAX($M$2:M5)</f>
        <v>12.8</v>
      </c>
      <c r="O5" s="59" t="n">
        <f aca="false">N5-M5</f>
        <v>20.7</v>
      </c>
    </row>
    <row r="6" customFormat="false" ht="15" hidden="false" customHeight="true" outlineLevel="0" collapsed="false">
      <c r="A6" s="21" t="n">
        <v>5</v>
      </c>
      <c r="B6" s="21" t="s">
        <v>209</v>
      </c>
      <c r="C6" s="21" t="s">
        <v>81</v>
      </c>
      <c r="D6" s="21" t="s">
        <v>203</v>
      </c>
      <c r="E6" s="57" t="n">
        <v>1.08385</v>
      </c>
      <c r="F6" s="57" t="n">
        <v>1.08565</v>
      </c>
      <c r="G6" s="57" t="n">
        <v>1.08025</v>
      </c>
      <c r="H6" s="21" t="n">
        <v>2</v>
      </c>
      <c r="I6" s="22" t="n">
        <v>0.66</v>
      </c>
      <c r="J6" s="21" t="n">
        <v>2.32</v>
      </c>
      <c r="K6" s="58" t="s">
        <v>207</v>
      </c>
      <c r="L6" s="23" t="n">
        <v>36</v>
      </c>
      <c r="M6" s="59" t="n">
        <f aca="false">M5+L6</f>
        <v>28.1</v>
      </c>
      <c r="N6" s="59" t="n">
        <f aca="false">MAX($M$2:M6)</f>
        <v>28.1</v>
      </c>
      <c r="O6" s="59" t="n">
        <f aca="false">N6-M6</f>
        <v>0</v>
      </c>
    </row>
    <row r="7" customFormat="false" ht="15" hidden="false" customHeight="true" outlineLevel="0" collapsed="false">
      <c r="A7" s="21" t="n">
        <v>6</v>
      </c>
      <c r="B7" s="21" t="s">
        <v>210</v>
      </c>
      <c r="C7" s="21" t="s">
        <v>81</v>
      </c>
      <c r="D7" s="21" t="s">
        <v>129</v>
      </c>
      <c r="E7" s="57" t="n">
        <v>1.0815</v>
      </c>
      <c r="F7" s="57" t="n">
        <v>1.07908</v>
      </c>
      <c r="G7" s="57" t="n">
        <v>1.08634</v>
      </c>
      <c r="H7" s="21" t="n">
        <v>2</v>
      </c>
      <c r="I7" s="22" t="n">
        <v>0.8</v>
      </c>
      <c r="J7" s="21" t="n">
        <v>2.6</v>
      </c>
      <c r="K7" s="58" t="s">
        <v>207</v>
      </c>
      <c r="L7" s="23" t="n">
        <v>48.4</v>
      </c>
      <c r="M7" s="59" t="n">
        <f aca="false">M6+L7</f>
        <v>76.5</v>
      </c>
      <c r="N7" s="59" t="n">
        <f aca="false">MAX($M$2:M7)</f>
        <v>76.5</v>
      </c>
      <c r="O7" s="59" t="n">
        <f aca="false">N7-M7</f>
        <v>0</v>
      </c>
    </row>
    <row r="8" customFormat="false" ht="15" hidden="false" customHeight="true" outlineLevel="0" collapsed="false">
      <c r="A8" s="21" t="n">
        <v>7</v>
      </c>
      <c r="B8" s="21" t="s">
        <v>211</v>
      </c>
      <c r="C8" s="21" t="s">
        <v>81</v>
      </c>
      <c r="D8" s="21" t="s">
        <v>203</v>
      </c>
      <c r="E8" s="57" t="n">
        <v>1.08462</v>
      </c>
      <c r="F8" s="57" t="n">
        <v>1.08686</v>
      </c>
      <c r="G8" s="57" t="n">
        <v>1.08238</v>
      </c>
      <c r="H8" s="21" t="n">
        <v>1</v>
      </c>
      <c r="I8" s="22" t="n">
        <v>0.44</v>
      </c>
      <c r="J8" s="21" t="n">
        <v>1.87</v>
      </c>
      <c r="K8" s="58" t="s">
        <v>207</v>
      </c>
      <c r="L8" s="23" t="n">
        <v>22.4</v>
      </c>
      <c r="M8" s="59" t="n">
        <f aca="false">M7+L8</f>
        <v>98.9</v>
      </c>
      <c r="N8" s="59" t="n">
        <f aca="false">MAX($M$2:M8)</f>
        <v>98.9</v>
      </c>
      <c r="O8" s="59" t="n">
        <f aca="false">N8-M8</f>
        <v>0</v>
      </c>
    </row>
    <row r="9" customFormat="false" ht="15" hidden="false" customHeight="true" outlineLevel="0" collapsed="false">
      <c r="A9" s="21" t="n">
        <v>8</v>
      </c>
      <c r="B9" s="21" t="s">
        <v>116</v>
      </c>
      <c r="C9" s="21" t="s">
        <v>81</v>
      </c>
      <c r="D9" s="21" t="s">
        <v>203</v>
      </c>
      <c r="E9" s="57" t="n">
        <v>1.08445</v>
      </c>
      <c r="F9" s="57" t="n">
        <v>1.08668</v>
      </c>
      <c r="G9" s="57" t="n">
        <v>1.07999</v>
      </c>
      <c r="H9" s="21" t="n">
        <v>2</v>
      </c>
      <c r="I9" s="22" t="n">
        <v>0.65</v>
      </c>
      <c r="J9" s="21" t="n">
        <v>2.29</v>
      </c>
      <c r="K9" s="58" t="s">
        <v>207</v>
      </c>
      <c r="L9" s="23" t="n">
        <v>44.6</v>
      </c>
      <c r="M9" s="59" t="n">
        <f aca="false">M8+L9</f>
        <v>143.5</v>
      </c>
      <c r="N9" s="59" t="n">
        <f aca="false">MAX($M$2:M9)</f>
        <v>143.5</v>
      </c>
      <c r="O9" s="59" t="n">
        <f aca="false">N9-M9</f>
        <v>0</v>
      </c>
    </row>
    <row r="10" customFormat="false" ht="15" hidden="false" customHeight="true" outlineLevel="0" collapsed="false">
      <c r="A10" s="21" t="n">
        <v>9</v>
      </c>
      <c r="B10" s="21" t="s">
        <v>212</v>
      </c>
      <c r="C10" s="21" t="s">
        <v>82</v>
      </c>
      <c r="D10" s="21" t="s">
        <v>129</v>
      </c>
      <c r="E10" s="57" t="n">
        <v>1.26972</v>
      </c>
      <c r="F10" s="57" t="n">
        <v>1.26786</v>
      </c>
      <c r="G10" s="57" t="n">
        <v>1.27158</v>
      </c>
      <c r="H10" s="21" t="n">
        <v>1</v>
      </c>
      <c r="I10" s="22" t="n">
        <v>0.48</v>
      </c>
      <c r="J10" s="21" t="n">
        <v>1.96</v>
      </c>
      <c r="K10" s="58" t="s">
        <v>207</v>
      </c>
      <c r="L10" s="23" t="n">
        <v>18.6</v>
      </c>
      <c r="M10" s="59" t="n">
        <f aca="false">M9+L10</f>
        <v>162.1</v>
      </c>
      <c r="N10" s="59" t="n">
        <f aca="false">MAX($M$2:M10)</f>
        <v>162.1</v>
      </c>
      <c r="O10" s="59" t="n">
        <f aca="false">N10-M10</f>
        <v>0</v>
      </c>
    </row>
    <row r="11" customFormat="false" ht="15" hidden="false" customHeight="true" outlineLevel="0" collapsed="false">
      <c r="A11" s="21" t="n">
        <v>10</v>
      </c>
      <c r="B11" s="21" t="s">
        <v>213</v>
      </c>
      <c r="C11" s="21" t="s">
        <v>83</v>
      </c>
      <c r="D11" s="21" t="s">
        <v>203</v>
      </c>
      <c r="E11" s="57" t="n">
        <v>149.596</v>
      </c>
      <c r="F11" s="57" t="n">
        <v>149.77</v>
      </c>
      <c r="G11" s="57" t="n">
        <v>149.422</v>
      </c>
      <c r="H11" s="21" t="n">
        <v>1</v>
      </c>
      <c r="I11" s="22" t="n">
        <v>0.4</v>
      </c>
      <c r="J11" s="21" t="n">
        <v>1.79</v>
      </c>
      <c r="K11" s="58" t="s">
        <v>207</v>
      </c>
      <c r="L11" s="23" t="n">
        <v>17.4</v>
      </c>
      <c r="M11" s="59" t="n">
        <f aca="false">M10+L11</f>
        <v>179.5</v>
      </c>
      <c r="N11" s="59" t="n">
        <f aca="false">MAX($M$2:M11)</f>
        <v>179.5</v>
      </c>
      <c r="O11" s="59" t="n">
        <f aca="false">N11-M11</f>
        <v>0</v>
      </c>
    </row>
    <row r="12" customFormat="false" ht="15" hidden="false" customHeight="true" outlineLevel="0" collapsed="false">
      <c r="A12" s="21" t="n">
        <v>11</v>
      </c>
      <c r="B12" s="21" t="s">
        <v>214</v>
      </c>
      <c r="C12" s="21" t="s">
        <v>81</v>
      </c>
      <c r="D12" s="21" t="s">
        <v>203</v>
      </c>
      <c r="E12" s="57" t="n">
        <v>1.08498</v>
      </c>
      <c r="F12" s="57" t="n">
        <v>1.08724</v>
      </c>
      <c r="G12" s="57" t="n">
        <v>1.0782</v>
      </c>
      <c r="H12" s="21" t="n">
        <v>3</v>
      </c>
      <c r="I12" s="22" t="n">
        <v>0.94</v>
      </c>
      <c r="J12" s="21" t="n">
        <v>2.88</v>
      </c>
      <c r="K12" s="58" t="s">
        <v>204</v>
      </c>
      <c r="L12" s="23" t="n">
        <v>-22.6</v>
      </c>
      <c r="M12" s="59" t="n">
        <f aca="false">M11+L12</f>
        <v>156.9</v>
      </c>
      <c r="N12" s="59" t="n">
        <f aca="false">MAX($M$2:M12)</f>
        <v>179.5</v>
      </c>
      <c r="O12" s="59" t="n">
        <f aca="false">N12-M12</f>
        <v>22.6</v>
      </c>
    </row>
    <row r="13" customFormat="false" ht="15" hidden="false" customHeight="true" outlineLevel="0" collapsed="false">
      <c r="A13" s="21" t="n">
        <v>12</v>
      </c>
      <c r="B13" s="21" t="s">
        <v>215</v>
      </c>
      <c r="C13" s="21" t="s">
        <v>81</v>
      </c>
      <c r="D13" s="21" t="s">
        <v>129</v>
      </c>
      <c r="E13" s="57" t="n">
        <v>1.07666</v>
      </c>
      <c r="F13" s="57" t="n">
        <v>1.07462</v>
      </c>
      <c r="G13" s="57" t="n">
        <v>1.0787</v>
      </c>
      <c r="H13" s="21" t="n">
        <v>1</v>
      </c>
      <c r="I13" s="22" t="n">
        <v>0.44</v>
      </c>
      <c r="J13" s="21" t="n">
        <v>1.89</v>
      </c>
      <c r="K13" s="58" t="s">
        <v>204</v>
      </c>
      <c r="L13" s="23" t="n">
        <v>-20.4</v>
      </c>
      <c r="M13" s="59" t="n">
        <f aca="false">M12+L13</f>
        <v>136.5</v>
      </c>
      <c r="N13" s="59" t="n">
        <f aca="false">MAX($M$2:M13)</f>
        <v>179.5</v>
      </c>
      <c r="O13" s="59" t="n">
        <f aca="false">N13-M13</f>
        <v>43</v>
      </c>
    </row>
    <row r="14" customFormat="false" ht="15" hidden="false" customHeight="true" outlineLevel="0" collapsed="false">
      <c r="A14" s="21" t="n">
        <v>13</v>
      </c>
      <c r="B14" s="21" t="s">
        <v>216</v>
      </c>
      <c r="C14" s="21" t="s">
        <v>81</v>
      </c>
      <c r="D14" s="21" t="s">
        <v>129</v>
      </c>
      <c r="E14" s="57" t="n">
        <v>1.0835</v>
      </c>
      <c r="F14" s="57" t="n">
        <v>1.08176</v>
      </c>
      <c r="G14" s="57" t="n">
        <v>1.08698</v>
      </c>
      <c r="H14" s="21" t="n">
        <v>2</v>
      </c>
      <c r="I14" s="22" t="n">
        <v>0.73</v>
      </c>
      <c r="J14" s="21" t="n">
        <v>2.46</v>
      </c>
      <c r="K14" s="58" t="s">
        <v>207</v>
      </c>
      <c r="L14" s="23" t="n">
        <v>34.8</v>
      </c>
      <c r="M14" s="59" t="n">
        <f aca="false">M13+L14</f>
        <v>171.3</v>
      </c>
      <c r="N14" s="59" t="n">
        <f aca="false">MAX($M$2:M14)</f>
        <v>179.5</v>
      </c>
      <c r="O14" s="59" t="n">
        <f aca="false">N14-M14</f>
        <v>8.19999999999999</v>
      </c>
    </row>
    <row r="15" customFormat="false" ht="15" hidden="false" customHeight="true" outlineLevel="0" collapsed="false">
      <c r="A15" s="21" t="n">
        <v>14</v>
      </c>
      <c r="B15" s="21" t="s">
        <v>217</v>
      </c>
      <c r="C15" s="21" t="s">
        <v>83</v>
      </c>
      <c r="D15" s="21" t="s">
        <v>129</v>
      </c>
      <c r="E15" s="57" t="n">
        <v>150.131</v>
      </c>
      <c r="F15" s="57" t="n">
        <v>149.953</v>
      </c>
      <c r="G15" s="57" t="n">
        <v>150.309</v>
      </c>
      <c r="H15" s="21" t="n">
        <v>1</v>
      </c>
      <c r="I15" s="22" t="n">
        <v>0.27</v>
      </c>
      <c r="J15" s="21" t="n">
        <v>1.54</v>
      </c>
      <c r="K15" s="58" t="s">
        <v>207</v>
      </c>
      <c r="L15" s="23" t="n">
        <v>17.8</v>
      </c>
      <c r="M15" s="59" t="n">
        <f aca="false">M14+L15</f>
        <v>189.1</v>
      </c>
      <c r="N15" s="59" t="n">
        <f aca="false">MAX($M$2:M15)</f>
        <v>189.1</v>
      </c>
      <c r="O15" s="59" t="n">
        <f aca="false">N15-M15</f>
        <v>0</v>
      </c>
    </row>
    <row r="16" customFormat="false" ht="15" hidden="false" customHeight="true" outlineLevel="0" collapsed="false">
      <c r="A16" s="21" t="n">
        <v>15</v>
      </c>
      <c r="B16" s="21" t="s">
        <v>218</v>
      </c>
      <c r="C16" s="21" t="s">
        <v>81</v>
      </c>
      <c r="D16" s="21" t="s">
        <v>203</v>
      </c>
      <c r="E16" s="57" t="n">
        <v>1.08722</v>
      </c>
      <c r="F16" s="57" t="n">
        <v>1.08898</v>
      </c>
      <c r="G16" s="57" t="n">
        <v>1.0837</v>
      </c>
      <c r="H16" s="21" t="n">
        <v>2</v>
      </c>
      <c r="I16" s="22" t="n">
        <v>0.59</v>
      </c>
      <c r="J16" s="21" t="n">
        <v>2.19</v>
      </c>
      <c r="K16" s="58" t="s">
        <v>207</v>
      </c>
      <c r="L16" s="23" t="n">
        <v>35.2</v>
      </c>
      <c r="M16" s="59" t="n">
        <f aca="false">M15+L16</f>
        <v>224.3</v>
      </c>
      <c r="N16" s="59" t="n">
        <f aca="false">MAX($M$2:M16)</f>
        <v>224.3</v>
      </c>
      <c r="O16" s="59" t="n">
        <f aca="false">N16-M16</f>
        <v>0</v>
      </c>
    </row>
    <row r="17" customFormat="false" ht="15" hidden="false" customHeight="true" outlineLevel="0" collapsed="false">
      <c r="A17" s="21" t="n">
        <v>16</v>
      </c>
      <c r="B17" s="21" t="s">
        <v>219</v>
      </c>
      <c r="C17" s="21" t="s">
        <v>82</v>
      </c>
      <c r="D17" s="21" t="s">
        <v>129</v>
      </c>
      <c r="E17" s="57" t="n">
        <v>1.26693</v>
      </c>
      <c r="F17" s="57" t="n">
        <v>1.26491</v>
      </c>
      <c r="G17" s="57" t="n">
        <v>1.27097</v>
      </c>
      <c r="H17" s="21" t="n">
        <v>2</v>
      </c>
      <c r="I17" s="22" t="n">
        <v>0.55</v>
      </c>
      <c r="J17" s="21" t="n">
        <v>2.11</v>
      </c>
      <c r="K17" s="58" t="s">
        <v>204</v>
      </c>
      <c r="L17" s="23" t="n">
        <v>-20.2</v>
      </c>
      <c r="M17" s="59" t="n">
        <f aca="false">M16+L17</f>
        <v>204.1</v>
      </c>
      <c r="N17" s="59" t="n">
        <f aca="false">MAX($M$2:M17)</f>
        <v>224.3</v>
      </c>
      <c r="O17" s="59" t="n">
        <f aca="false">N17-M17</f>
        <v>20.2</v>
      </c>
    </row>
    <row r="18" customFormat="false" ht="15" hidden="false" customHeight="true" outlineLevel="0" collapsed="false">
      <c r="A18" s="21" t="n">
        <v>17</v>
      </c>
      <c r="B18" s="21" t="s">
        <v>220</v>
      </c>
      <c r="C18" s="21" t="s">
        <v>81</v>
      </c>
      <c r="D18" s="21" t="s">
        <v>203</v>
      </c>
      <c r="E18" s="57" t="n">
        <v>1.07891</v>
      </c>
      <c r="F18" s="57" t="n">
        <v>1.08118</v>
      </c>
      <c r="G18" s="57" t="n">
        <v>1.0721</v>
      </c>
      <c r="H18" s="21" t="n">
        <v>3</v>
      </c>
      <c r="I18" s="22" t="n">
        <v>0.92</v>
      </c>
      <c r="J18" s="21" t="n">
        <v>2.84</v>
      </c>
      <c r="K18" s="58" t="s">
        <v>207</v>
      </c>
      <c r="L18" s="23" t="n">
        <v>68.1</v>
      </c>
      <c r="M18" s="59" t="n">
        <f aca="false">M17+L18</f>
        <v>272.2</v>
      </c>
      <c r="N18" s="59" t="n">
        <f aca="false">MAX($M$2:M18)</f>
        <v>272.2</v>
      </c>
      <c r="O18" s="59" t="n">
        <f aca="false">N18-M18</f>
        <v>0</v>
      </c>
    </row>
    <row r="19" customFormat="false" ht="15" hidden="false" customHeight="true" outlineLevel="0" collapsed="false">
      <c r="A19" s="21" t="n">
        <v>18</v>
      </c>
      <c r="B19" s="21" t="s">
        <v>221</v>
      </c>
      <c r="C19" s="21" t="s">
        <v>81</v>
      </c>
      <c r="D19" s="21" t="s">
        <v>129</v>
      </c>
      <c r="E19" s="57" t="n">
        <v>1.08879</v>
      </c>
      <c r="F19" s="57" t="n">
        <v>1.08624</v>
      </c>
      <c r="G19" s="57" t="n">
        <v>1.09134</v>
      </c>
      <c r="H19" s="21" t="n">
        <v>1</v>
      </c>
      <c r="I19" s="22" t="n">
        <v>0.41</v>
      </c>
      <c r="J19" s="21" t="n">
        <v>1.82</v>
      </c>
      <c r="K19" s="58" t="s">
        <v>204</v>
      </c>
      <c r="L19" s="23" t="n">
        <v>-25.5</v>
      </c>
      <c r="M19" s="59" t="n">
        <f aca="false">M18+L19</f>
        <v>246.7</v>
      </c>
      <c r="N19" s="59" t="n">
        <f aca="false">MAX($M$2:M19)</f>
        <v>272.2</v>
      </c>
      <c r="O19" s="59" t="n">
        <f aca="false">N19-M19</f>
        <v>25.5</v>
      </c>
    </row>
    <row r="20" customFormat="false" ht="15" hidden="false" customHeight="true" outlineLevel="0" collapsed="false">
      <c r="A20" s="21" t="n">
        <v>19</v>
      </c>
      <c r="B20" s="21" t="s">
        <v>222</v>
      </c>
      <c r="C20" s="21" t="s">
        <v>81</v>
      </c>
      <c r="D20" s="21" t="s">
        <v>203</v>
      </c>
      <c r="E20" s="57" t="n">
        <v>1.07979</v>
      </c>
      <c r="F20" s="57" t="n">
        <v>1.08222</v>
      </c>
      <c r="G20" s="57" t="n">
        <v>1.07736</v>
      </c>
      <c r="H20" s="21" t="n">
        <v>1</v>
      </c>
      <c r="I20" s="22" t="n">
        <v>0.28</v>
      </c>
      <c r="J20" s="21" t="n">
        <v>1.55</v>
      </c>
      <c r="K20" s="58" t="s">
        <v>204</v>
      </c>
      <c r="L20" s="23" t="n">
        <v>-24.3</v>
      </c>
      <c r="M20" s="59" t="n">
        <f aca="false">M19+L20</f>
        <v>222.4</v>
      </c>
      <c r="N20" s="59" t="n">
        <f aca="false">MAX($M$2:M20)</f>
        <v>272.2</v>
      </c>
      <c r="O20" s="59" t="n">
        <f aca="false">N20-M20</f>
        <v>49.8</v>
      </c>
    </row>
    <row r="21" customFormat="false" ht="15" hidden="false" customHeight="true" outlineLevel="0" collapsed="false">
      <c r="A21" s="21" t="n">
        <v>20</v>
      </c>
      <c r="B21" s="21" t="s">
        <v>223</v>
      </c>
      <c r="C21" s="21" t="s">
        <v>81</v>
      </c>
      <c r="D21" s="21" t="s">
        <v>203</v>
      </c>
      <c r="E21" s="57" t="n">
        <v>1.09141</v>
      </c>
      <c r="F21" s="57" t="n">
        <v>1.09358</v>
      </c>
      <c r="G21" s="57" t="n">
        <v>1.08707</v>
      </c>
      <c r="H21" s="21" t="n">
        <v>2</v>
      </c>
      <c r="I21" s="22" t="n">
        <v>0.76</v>
      </c>
      <c r="J21" s="21" t="n">
        <v>2.52</v>
      </c>
      <c r="K21" s="58" t="s">
        <v>204</v>
      </c>
      <c r="L21" s="23" t="n">
        <v>-21.7</v>
      </c>
      <c r="M21" s="59" t="n">
        <f aca="false">M20+L21</f>
        <v>200.7</v>
      </c>
      <c r="N21" s="59" t="n">
        <f aca="false">MAX($M$2:M21)</f>
        <v>272.2</v>
      </c>
      <c r="O21" s="59" t="n">
        <f aca="false">N21-M21</f>
        <v>71.5</v>
      </c>
    </row>
    <row r="22" customFormat="false" ht="15" hidden="false" customHeight="true" outlineLevel="0" collapsed="false">
      <c r="A22" s="21" t="n">
        <v>21</v>
      </c>
      <c r="B22" s="21" t="s">
        <v>224</v>
      </c>
      <c r="C22" s="21" t="s">
        <v>81</v>
      </c>
      <c r="D22" s="21" t="s">
        <v>203</v>
      </c>
      <c r="E22" s="57" t="n">
        <v>1.08671</v>
      </c>
      <c r="F22" s="57" t="n">
        <v>1.08833</v>
      </c>
      <c r="G22" s="57" t="n">
        <v>1.08347</v>
      </c>
      <c r="H22" s="21" t="n">
        <v>2</v>
      </c>
      <c r="I22" s="22" t="n">
        <v>0.64</v>
      </c>
      <c r="J22" s="21" t="n">
        <v>2.27</v>
      </c>
      <c r="K22" s="58" t="s">
        <v>204</v>
      </c>
      <c r="L22" s="23" t="n">
        <v>-16.2</v>
      </c>
      <c r="M22" s="59" t="n">
        <f aca="false">M21+L22</f>
        <v>184.5</v>
      </c>
      <c r="N22" s="59" t="n">
        <f aca="false">MAX($M$2:M22)</f>
        <v>272.2</v>
      </c>
      <c r="O22" s="59" t="n">
        <f aca="false">N22-M22</f>
        <v>87.7</v>
      </c>
    </row>
    <row r="23" customFormat="false" ht="15" hidden="false" customHeight="true" outlineLevel="0" collapsed="false">
      <c r="A23" s="21" t="n">
        <v>22</v>
      </c>
      <c r="B23" s="21" t="s">
        <v>225</v>
      </c>
      <c r="C23" s="21" t="s">
        <v>81</v>
      </c>
      <c r="D23" s="21" t="s">
        <v>129</v>
      </c>
      <c r="E23" s="57" t="n">
        <v>1.08794</v>
      </c>
      <c r="F23" s="57" t="n">
        <v>1.086</v>
      </c>
      <c r="G23" s="57" t="n">
        <v>1.09182</v>
      </c>
      <c r="H23" s="21" t="n">
        <v>2</v>
      </c>
      <c r="I23" s="22" t="n">
        <v>0.81</v>
      </c>
      <c r="J23" s="21" t="n">
        <v>2.63</v>
      </c>
      <c r="K23" s="58" t="s">
        <v>207</v>
      </c>
      <c r="L23" s="23" t="n">
        <v>38.8</v>
      </c>
      <c r="M23" s="59" t="n">
        <f aca="false">M22+L23</f>
        <v>223.3</v>
      </c>
      <c r="N23" s="59" t="n">
        <f aca="false">MAX($M$2:M23)</f>
        <v>272.2</v>
      </c>
      <c r="O23" s="59" t="n">
        <f aca="false">N23-M23</f>
        <v>48.9</v>
      </c>
    </row>
    <row r="24" customFormat="false" ht="15" hidden="false" customHeight="true" outlineLevel="0" collapsed="false">
      <c r="A24" s="21" t="n">
        <v>23</v>
      </c>
      <c r="B24" s="21" t="s">
        <v>226</v>
      </c>
      <c r="C24" s="21" t="s">
        <v>81</v>
      </c>
      <c r="D24" s="21" t="s">
        <v>129</v>
      </c>
      <c r="E24" s="57" t="n">
        <v>1.08646</v>
      </c>
      <c r="F24" s="57" t="n">
        <v>1.08441</v>
      </c>
      <c r="G24" s="57" t="n">
        <v>1.08851</v>
      </c>
      <c r="H24" s="21" t="n">
        <v>1</v>
      </c>
      <c r="I24" s="22" t="n">
        <v>0.48</v>
      </c>
      <c r="J24" s="21" t="n">
        <v>1.96</v>
      </c>
      <c r="K24" s="58" t="s">
        <v>204</v>
      </c>
      <c r="L24" s="23" t="n">
        <v>-20.5</v>
      </c>
      <c r="M24" s="59" t="n">
        <f aca="false">M23+L24</f>
        <v>202.8</v>
      </c>
      <c r="N24" s="59" t="n">
        <f aca="false">MAX($M$2:M24)</f>
        <v>272.2</v>
      </c>
      <c r="O24" s="59" t="n">
        <f aca="false">N24-M24</f>
        <v>69.4</v>
      </c>
    </row>
    <row r="25" customFormat="false" ht="15" hidden="false" customHeight="true" outlineLevel="0" collapsed="false">
      <c r="A25" s="21" t="n">
        <v>24</v>
      </c>
      <c r="B25" s="21" t="s">
        <v>227</v>
      </c>
      <c r="C25" s="21" t="s">
        <v>83</v>
      </c>
      <c r="D25" s="21" t="s">
        <v>203</v>
      </c>
      <c r="E25" s="57" t="n">
        <v>149.057</v>
      </c>
      <c r="F25" s="57" t="n">
        <v>149.257</v>
      </c>
      <c r="G25" s="57" t="n">
        <v>148.457</v>
      </c>
      <c r="H25" s="21" t="n">
        <v>3</v>
      </c>
      <c r="I25" s="22" t="n">
        <v>0.89</v>
      </c>
      <c r="J25" s="21" t="n">
        <v>2.78</v>
      </c>
      <c r="K25" s="58" t="s">
        <v>207</v>
      </c>
      <c r="L25" s="23" t="n">
        <v>60</v>
      </c>
      <c r="M25" s="59" t="n">
        <f aca="false">M24+L25</f>
        <v>262.8</v>
      </c>
      <c r="N25" s="59" t="n">
        <f aca="false">MAX($M$2:M25)</f>
        <v>272.2</v>
      </c>
      <c r="O25" s="59" t="n">
        <f aca="false">N25-M25</f>
        <v>9.39999999999998</v>
      </c>
    </row>
    <row r="26" customFormat="false" ht="15" hidden="false" customHeight="true" outlineLevel="0" collapsed="false">
      <c r="A26" s="21" t="n">
        <v>25</v>
      </c>
      <c r="B26" s="21" t="s">
        <v>228</v>
      </c>
      <c r="C26" s="21" t="s">
        <v>81</v>
      </c>
      <c r="D26" s="21" t="s">
        <v>129</v>
      </c>
      <c r="E26" s="57" t="n">
        <v>1.08365</v>
      </c>
      <c r="F26" s="57" t="n">
        <v>1.08125</v>
      </c>
      <c r="G26" s="57" t="n">
        <v>1.08605</v>
      </c>
      <c r="H26" s="21" t="n">
        <v>1</v>
      </c>
      <c r="I26" s="22" t="n">
        <v>0.35</v>
      </c>
      <c r="J26" s="21" t="n">
        <v>1.71</v>
      </c>
      <c r="K26" s="58" t="s">
        <v>204</v>
      </c>
      <c r="L26" s="23" t="n">
        <v>-24</v>
      </c>
      <c r="M26" s="59" t="n">
        <f aca="false">M25+L26</f>
        <v>238.8</v>
      </c>
      <c r="N26" s="59" t="n">
        <f aca="false">MAX($M$2:M26)</f>
        <v>272.2</v>
      </c>
      <c r="O26" s="59" t="n">
        <f aca="false">N26-M26</f>
        <v>33.4</v>
      </c>
    </row>
    <row r="27" customFormat="false" ht="15" hidden="false" customHeight="true" outlineLevel="0" collapsed="false">
      <c r="A27" s="21" t="n">
        <v>26</v>
      </c>
      <c r="B27" s="21" t="s">
        <v>229</v>
      </c>
      <c r="C27" s="21" t="s">
        <v>82</v>
      </c>
      <c r="D27" s="21" t="s">
        <v>203</v>
      </c>
      <c r="E27" s="57" t="n">
        <v>1.25702</v>
      </c>
      <c r="F27" s="57" t="n">
        <v>1.25932</v>
      </c>
      <c r="G27" s="57" t="n">
        <v>1.25472</v>
      </c>
      <c r="H27" s="21" t="n">
        <v>1</v>
      </c>
      <c r="I27" s="22" t="n">
        <v>0.45</v>
      </c>
      <c r="J27" s="21" t="n">
        <v>1.9</v>
      </c>
      <c r="K27" s="58" t="s">
        <v>207</v>
      </c>
      <c r="L27" s="23" t="n">
        <v>23</v>
      </c>
      <c r="M27" s="59" t="n">
        <f aca="false">M26+L27</f>
        <v>261.8</v>
      </c>
      <c r="N27" s="59" t="n">
        <f aca="false">MAX($M$2:M27)</f>
        <v>272.2</v>
      </c>
      <c r="O27" s="59" t="n">
        <f aca="false">N27-M27</f>
        <v>10.4</v>
      </c>
    </row>
    <row r="28" customFormat="false" ht="15" hidden="false" customHeight="true" outlineLevel="0" collapsed="false">
      <c r="A28" s="21" t="n">
        <v>27</v>
      </c>
      <c r="B28" s="21" t="s">
        <v>230</v>
      </c>
      <c r="C28" s="21" t="s">
        <v>81</v>
      </c>
      <c r="D28" s="21" t="s">
        <v>203</v>
      </c>
      <c r="E28" s="57" t="n">
        <v>1.08956</v>
      </c>
      <c r="F28" s="57" t="n">
        <v>1.0912</v>
      </c>
      <c r="G28" s="57" t="n">
        <v>1.08628</v>
      </c>
      <c r="H28" s="21" t="n">
        <v>2</v>
      </c>
      <c r="I28" s="22" t="n">
        <v>0.64</v>
      </c>
      <c r="J28" s="21" t="n">
        <v>2.27</v>
      </c>
      <c r="K28" s="58" t="s">
        <v>204</v>
      </c>
      <c r="L28" s="23" t="n">
        <v>-16.4</v>
      </c>
      <c r="M28" s="59" t="n">
        <f aca="false">M27+L28</f>
        <v>245.4</v>
      </c>
      <c r="N28" s="59" t="n">
        <f aca="false">MAX($M$2:M28)</f>
        <v>272.2</v>
      </c>
      <c r="O28" s="59" t="n">
        <f aca="false">N28-M28</f>
        <v>26.8</v>
      </c>
    </row>
    <row r="29" customFormat="false" ht="15" hidden="false" customHeight="true" outlineLevel="0" collapsed="false">
      <c r="A29" s="21" t="n">
        <v>28</v>
      </c>
      <c r="B29" s="21" t="s">
        <v>231</v>
      </c>
      <c r="C29" s="21" t="s">
        <v>82</v>
      </c>
      <c r="D29" s="21" t="s">
        <v>203</v>
      </c>
      <c r="E29" s="57" t="n">
        <v>1.27426</v>
      </c>
      <c r="F29" s="57" t="n">
        <v>1.27647</v>
      </c>
      <c r="G29" s="57" t="n">
        <v>1.26984</v>
      </c>
      <c r="H29" s="21" t="n">
        <v>2</v>
      </c>
      <c r="I29" s="22" t="n">
        <v>0.82</v>
      </c>
      <c r="J29" s="21" t="n">
        <v>2.65</v>
      </c>
      <c r="K29" s="58" t="s">
        <v>207</v>
      </c>
      <c r="L29" s="23" t="n">
        <v>44.2</v>
      </c>
      <c r="M29" s="59" t="n">
        <f aca="false">M28+L29</f>
        <v>289.6</v>
      </c>
      <c r="N29" s="59" t="n">
        <f aca="false">MAX($M$2:M29)</f>
        <v>289.6</v>
      </c>
      <c r="O29" s="59" t="n">
        <f aca="false">N29-M29</f>
        <v>0</v>
      </c>
    </row>
    <row r="30" customFormat="false" ht="15" hidden="false" customHeight="true" outlineLevel="0" collapsed="false">
      <c r="A30" s="21" t="n">
        <v>29</v>
      </c>
      <c r="B30" s="21" t="s">
        <v>232</v>
      </c>
      <c r="C30" s="21" t="s">
        <v>83</v>
      </c>
      <c r="D30" s="21" t="s">
        <v>203</v>
      </c>
      <c r="E30" s="57" t="n">
        <v>150.746</v>
      </c>
      <c r="F30" s="57" t="n">
        <v>150.935</v>
      </c>
      <c r="G30" s="57" t="n">
        <v>150.179</v>
      </c>
      <c r="H30" s="21" t="n">
        <v>3</v>
      </c>
      <c r="I30" s="22" t="n">
        <v>0.9</v>
      </c>
      <c r="J30" s="21" t="n">
        <v>2.79</v>
      </c>
      <c r="K30" s="58" t="s">
        <v>204</v>
      </c>
      <c r="L30" s="23" t="n">
        <v>-18.9</v>
      </c>
      <c r="M30" s="59" t="n">
        <f aca="false">M29+L30</f>
        <v>270.7</v>
      </c>
      <c r="N30" s="59" t="n">
        <f aca="false">MAX($M$2:M30)</f>
        <v>289.6</v>
      </c>
      <c r="O30" s="59" t="n">
        <f aca="false">N30-M30</f>
        <v>18.9</v>
      </c>
    </row>
    <row r="31" customFormat="false" ht="15" hidden="false" customHeight="true" outlineLevel="0" collapsed="false">
      <c r="A31" s="21" t="n">
        <v>30</v>
      </c>
      <c r="B31" s="21" t="s">
        <v>233</v>
      </c>
      <c r="C31" s="21" t="s">
        <v>81</v>
      </c>
      <c r="D31" s="21" t="s">
        <v>129</v>
      </c>
      <c r="E31" s="57" t="n">
        <v>1.08816</v>
      </c>
      <c r="F31" s="57" t="n">
        <v>1.08586</v>
      </c>
      <c r="G31" s="57" t="n">
        <v>1.09276</v>
      </c>
      <c r="H31" s="21" t="n">
        <v>2</v>
      </c>
      <c r="I31" s="22" t="n">
        <v>0.79</v>
      </c>
      <c r="J31" s="21" t="n">
        <v>2.59</v>
      </c>
      <c r="K31" s="58" t="s">
        <v>207</v>
      </c>
      <c r="L31" s="23" t="n">
        <v>46</v>
      </c>
      <c r="M31" s="59" t="n">
        <f aca="false">M30+L31</f>
        <v>316.7</v>
      </c>
      <c r="N31" s="59" t="n">
        <f aca="false">MAX($M$2:M31)</f>
        <v>316.7</v>
      </c>
      <c r="O31" s="59" t="n">
        <f aca="false">N31-M31</f>
        <v>0</v>
      </c>
    </row>
    <row r="32" customFormat="false" ht="15" hidden="false" customHeight="true" outlineLevel="0" collapsed="false">
      <c r="A32" s="21" t="n">
        <v>31</v>
      </c>
      <c r="B32" s="21" t="s">
        <v>234</v>
      </c>
      <c r="C32" s="21" t="s">
        <v>81</v>
      </c>
      <c r="D32" s="21" t="s">
        <v>129</v>
      </c>
      <c r="E32" s="57" t="n">
        <v>1.08235</v>
      </c>
      <c r="F32" s="57" t="n">
        <v>1.08055</v>
      </c>
      <c r="G32" s="57" t="n">
        <v>1.08595</v>
      </c>
      <c r="H32" s="21" t="n">
        <v>2</v>
      </c>
      <c r="I32" s="22" t="n">
        <v>0.78</v>
      </c>
      <c r="J32" s="21" t="n">
        <v>2.57</v>
      </c>
      <c r="K32" s="58" t="s">
        <v>204</v>
      </c>
      <c r="L32" s="23" t="n">
        <v>-18</v>
      </c>
      <c r="M32" s="59" t="n">
        <f aca="false">M31+L32</f>
        <v>298.7</v>
      </c>
      <c r="N32" s="59" t="n">
        <f aca="false">MAX($M$2:M32)</f>
        <v>316.7</v>
      </c>
      <c r="O32" s="59" t="n">
        <f aca="false">N32-M32</f>
        <v>18</v>
      </c>
    </row>
    <row r="33" customFormat="false" ht="15" hidden="false" customHeight="true" outlineLevel="0" collapsed="false">
      <c r="A33" s="21" t="n">
        <v>32</v>
      </c>
      <c r="B33" s="21" t="s">
        <v>235</v>
      </c>
      <c r="C33" s="21" t="s">
        <v>82</v>
      </c>
      <c r="D33" s="21" t="s">
        <v>129</v>
      </c>
      <c r="E33" s="57" t="n">
        <v>1.27484</v>
      </c>
      <c r="F33" s="57" t="n">
        <v>1.27295</v>
      </c>
      <c r="G33" s="57" t="n">
        <v>1.27862</v>
      </c>
      <c r="H33" s="21" t="n">
        <v>2</v>
      </c>
      <c r="I33" s="22" t="n">
        <v>0.58</v>
      </c>
      <c r="J33" s="21" t="n">
        <v>2.17</v>
      </c>
      <c r="K33" s="58" t="s">
        <v>207</v>
      </c>
      <c r="L33" s="23" t="n">
        <v>37.8</v>
      </c>
      <c r="M33" s="59" t="n">
        <f aca="false">M32+L33</f>
        <v>336.5</v>
      </c>
      <c r="N33" s="59" t="n">
        <f aca="false">MAX($M$2:M33)</f>
        <v>336.5</v>
      </c>
      <c r="O33" s="59" t="n">
        <f aca="false">N33-M33</f>
        <v>0</v>
      </c>
    </row>
    <row r="34" customFormat="false" ht="15" hidden="false" customHeight="true" outlineLevel="0" collapsed="false">
      <c r="A34" s="21" t="n">
        <v>33</v>
      </c>
      <c r="B34" s="21" t="s">
        <v>236</v>
      </c>
      <c r="C34" s="21" t="s">
        <v>83</v>
      </c>
      <c r="D34" s="21" t="s">
        <v>129</v>
      </c>
      <c r="E34" s="57" t="n">
        <v>150.114</v>
      </c>
      <c r="F34" s="57" t="n">
        <v>149.937</v>
      </c>
      <c r="G34" s="57" t="n">
        <v>150.291</v>
      </c>
      <c r="H34" s="21" t="n">
        <v>1</v>
      </c>
      <c r="I34" s="22" t="n">
        <v>0.45</v>
      </c>
      <c r="J34" s="21" t="n">
        <v>1.91</v>
      </c>
      <c r="K34" s="58" t="s">
        <v>207</v>
      </c>
      <c r="L34" s="23" t="n">
        <v>17.7</v>
      </c>
      <c r="M34" s="59" t="n">
        <f aca="false">M33+L34</f>
        <v>354.2</v>
      </c>
      <c r="N34" s="59" t="n">
        <f aca="false">MAX($M$2:M34)</f>
        <v>354.2</v>
      </c>
      <c r="O34" s="59" t="n">
        <f aca="false">N34-M34</f>
        <v>0</v>
      </c>
    </row>
    <row r="35" customFormat="false" ht="15" hidden="false" customHeight="true" outlineLevel="0" collapsed="false">
      <c r="A35" s="21" t="n">
        <v>34</v>
      </c>
      <c r="B35" s="21" t="s">
        <v>237</v>
      </c>
      <c r="C35" s="21" t="s">
        <v>82</v>
      </c>
      <c r="D35" s="21" t="s">
        <v>129</v>
      </c>
      <c r="E35" s="57" t="n">
        <v>1.26835</v>
      </c>
      <c r="F35" s="57" t="n">
        <v>1.26648</v>
      </c>
      <c r="G35" s="57" t="n">
        <v>1.27396</v>
      </c>
      <c r="H35" s="21" t="n">
        <v>3</v>
      </c>
      <c r="I35" s="22" t="n">
        <v>0.94</v>
      </c>
      <c r="J35" s="21" t="n">
        <v>2.88</v>
      </c>
      <c r="K35" s="58" t="s">
        <v>207</v>
      </c>
      <c r="L35" s="23" t="n">
        <v>56.1</v>
      </c>
      <c r="M35" s="59" t="n">
        <f aca="false">M34+L35</f>
        <v>410.3</v>
      </c>
      <c r="N35" s="59" t="n">
        <f aca="false">MAX($M$2:M35)</f>
        <v>410.3</v>
      </c>
      <c r="O35" s="59" t="n">
        <f aca="false">N35-M35</f>
        <v>0</v>
      </c>
    </row>
    <row r="36" customFormat="false" ht="15" hidden="false" customHeight="true" outlineLevel="0" collapsed="false">
      <c r="A36" s="21" t="n">
        <v>35</v>
      </c>
      <c r="B36" s="21" t="s">
        <v>238</v>
      </c>
      <c r="C36" s="21" t="s">
        <v>81</v>
      </c>
      <c r="D36" s="21" t="s">
        <v>203</v>
      </c>
      <c r="E36" s="57" t="n">
        <v>1.08324</v>
      </c>
      <c r="F36" s="57" t="n">
        <v>1.08572</v>
      </c>
      <c r="G36" s="57" t="n">
        <v>1.08076</v>
      </c>
      <c r="H36" s="21" t="n">
        <v>1</v>
      </c>
      <c r="I36" s="22" t="n">
        <v>0.34</v>
      </c>
      <c r="J36" s="21" t="n">
        <v>1.69</v>
      </c>
      <c r="K36" s="58" t="s">
        <v>204</v>
      </c>
      <c r="L36" s="23" t="n">
        <v>-24.8</v>
      </c>
      <c r="M36" s="59" t="n">
        <f aca="false">M35+L36</f>
        <v>385.5</v>
      </c>
      <c r="N36" s="59" t="n">
        <f aca="false">MAX($M$2:M36)</f>
        <v>410.3</v>
      </c>
      <c r="O36" s="59" t="n">
        <f aca="false">N36-M36</f>
        <v>24.8</v>
      </c>
    </row>
    <row r="37" customFormat="false" ht="15" hidden="false" customHeight="true" outlineLevel="0" collapsed="false">
      <c r="A37" s="21" t="n">
        <v>36</v>
      </c>
      <c r="B37" s="21" t="s">
        <v>239</v>
      </c>
      <c r="C37" s="21" t="s">
        <v>82</v>
      </c>
      <c r="D37" s="21" t="s">
        <v>129</v>
      </c>
      <c r="E37" s="57" t="n">
        <v>1.27721</v>
      </c>
      <c r="F37" s="57" t="n">
        <v>1.27474</v>
      </c>
      <c r="G37" s="57" t="n">
        <v>1.28462</v>
      </c>
      <c r="H37" s="21" t="n">
        <v>3</v>
      </c>
      <c r="I37" s="22" t="n">
        <v>0.9</v>
      </c>
      <c r="J37" s="21" t="n">
        <v>2.8</v>
      </c>
      <c r="K37" s="58" t="s">
        <v>207</v>
      </c>
      <c r="L37" s="23" t="n">
        <v>74.1</v>
      </c>
      <c r="M37" s="59" t="n">
        <f aca="false">M36+L37</f>
        <v>459.6</v>
      </c>
      <c r="N37" s="59" t="n">
        <f aca="false">MAX($M$2:M37)</f>
        <v>459.6</v>
      </c>
      <c r="O37" s="59" t="n">
        <f aca="false">N37-M37</f>
        <v>0</v>
      </c>
    </row>
    <row r="38" customFormat="false" ht="15" hidden="false" customHeight="true" outlineLevel="0" collapsed="false">
      <c r="A38" s="21" t="n">
        <v>37</v>
      </c>
      <c r="B38" s="21" t="s">
        <v>240</v>
      </c>
      <c r="C38" s="21" t="s">
        <v>81</v>
      </c>
      <c r="D38" s="21" t="s">
        <v>203</v>
      </c>
      <c r="E38" s="57" t="n">
        <v>1.08167</v>
      </c>
      <c r="F38" s="57" t="n">
        <v>1.08334</v>
      </c>
      <c r="G38" s="57" t="n">
        <v>1.07833</v>
      </c>
      <c r="H38" s="21" t="n">
        <v>2</v>
      </c>
      <c r="I38" s="22" t="n">
        <v>0.82</v>
      </c>
      <c r="J38" s="21" t="n">
        <v>2.64</v>
      </c>
      <c r="K38" s="58" t="s">
        <v>207</v>
      </c>
      <c r="L38" s="23" t="n">
        <v>33.4</v>
      </c>
      <c r="M38" s="59" t="n">
        <f aca="false">M37+L38</f>
        <v>493</v>
      </c>
      <c r="N38" s="59" t="n">
        <f aca="false">MAX($M$2:M38)</f>
        <v>493</v>
      </c>
      <c r="O38" s="59" t="n">
        <f aca="false">N38-M38</f>
        <v>0</v>
      </c>
    </row>
  </sheetData>
  <conditionalFormatting sqref="K2:K38">
    <cfRule type="cellIs" priority="2" operator="equal" aboveAverage="0" equalAverage="0" bottom="0" percent="0" rank="0" text="" dxfId="2">
      <formula>"Win"</formula>
    </cfRule>
    <cfRule type="cellIs" priority="3" operator="equal" aboveAverage="0" equalAverage="0" bottom="0" percent="0" rank="0" text="" dxfId="3">
      <formula>"Loss"</formula>
    </cfRule>
  </conditionalFormatting>
  <conditionalFormatting sqref="L2:L38">
    <cfRule type="cellIs" priority="4" operator="greaterThan" aboveAverage="0" equalAverage="0" bottom="0" percent="0" rank="0" text="" dxfId="2">
      <formula>0</formula>
    </cfRule>
    <cfRule type="cellIs" priority="5" operator="lessThan" aboveAverage="0" equalAverage="0" bottom="0" percent="0" rank="0" text="" dxfId="3">
      <formula>0</formula>
    </cfRule>
  </conditionalFormatting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1"/>
    <col collapsed="false" customWidth="true" hidden="false" outlineLevel="0" max="3" min="3" style="1" width="7"/>
    <col collapsed="false" customWidth="true" hidden="false" outlineLevel="0" max="4" min="4" style="1" width="11"/>
    <col collapsed="false" customWidth="true" hidden="false" outlineLevel="0" max="10" min="5" style="1" width="9"/>
    <col collapsed="false" customWidth="true" hidden="false" outlineLevel="0" max="12" min="11" style="1" width="10"/>
    <col collapsed="false" customWidth="true" hidden="false" outlineLevel="0" max="14" min="13" style="1" width="9"/>
    <col collapsed="false" customWidth="true" hidden="false" outlineLevel="0" max="15" min="15" style="1" width="10"/>
    <col collapsed="false" customWidth="true" hidden="false" outlineLevel="0" max="17" min="16" style="1" width="12"/>
    <col collapsed="false" customWidth="true" hidden="false" outlineLevel="0" max="18" min="18" style="1" width="11"/>
  </cols>
  <sheetData>
    <row r="1" customFormat="false" ht="15" hidden="false" customHeight="true" outlineLevel="0" collapsed="false">
      <c r="A1" s="56" t="s">
        <v>241</v>
      </c>
      <c r="B1" s="56" t="s">
        <v>26</v>
      </c>
      <c r="C1" s="56" t="s">
        <v>117</v>
      </c>
      <c r="D1" s="56" t="s">
        <v>242</v>
      </c>
      <c r="E1" s="56" t="s">
        <v>119</v>
      </c>
      <c r="F1" s="56" t="s">
        <v>120</v>
      </c>
      <c r="G1" s="56" t="s">
        <v>121</v>
      </c>
      <c r="H1" s="56" t="s">
        <v>122</v>
      </c>
      <c r="I1" s="56" t="s">
        <v>136</v>
      </c>
      <c r="J1" s="56" t="s">
        <v>137</v>
      </c>
      <c r="K1" s="56" t="s">
        <v>138</v>
      </c>
      <c r="L1" s="56" t="s">
        <v>243</v>
      </c>
      <c r="M1" s="56" t="s">
        <v>244</v>
      </c>
      <c r="N1" s="56" t="s">
        <v>245</v>
      </c>
      <c r="O1" s="56" t="s">
        <v>246</v>
      </c>
      <c r="P1" s="56" t="s">
        <v>247</v>
      </c>
      <c r="Q1" s="56" t="s">
        <v>248</v>
      </c>
      <c r="R1" s="56" t="s">
        <v>249</v>
      </c>
    </row>
    <row r="2" customFormat="false" ht="15" hidden="false" customHeight="true" outlineLevel="0" collapsed="false">
      <c r="A2" s="60" t="n">
        <v>1</v>
      </c>
      <c r="B2" s="60" t="s">
        <v>250</v>
      </c>
      <c r="C2" s="60" t="s">
        <v>251</v>
      </c>
      <c r="D2" s="60" t="s">
        <v>252</v>
      </c>
      <c r="E2" s="61" t="n">
        <v>1.085</v>
      </c>
      <c r="F2" s="61" t="n">
        <v>1.08518</v>
      </c>
      <c r="G2" s="61" t="n">
        <v>1.08484</v>
      </c>
      <c r="H2" s="61" t="n">
        <v>1.085</v>
      </c>
      <c r="I2" s="62" t="n">
        <f aca="false">ABS(H2-E2)</f>
        <v>0</v>
      </c>
      <c r="J2" s="62" t="n">
        <f aca="false">F2-G2</f>
        <v>0.000340000000000007</v>
      </c>
      <c r="K2" s="63" t="n">
        <f aca="false">IF(J2=0,0,I2/J2)</f>
        <v>0</v>
      </c>
      <c r="L2" s="62" t="n">
        <f aca="false">F2-G2</f>
        <v>0.000340000000000007</v>
      </c>
      <c r="M2" s="62" t="n">
        <f aca="false">AVERAGE(L2:L2)</f>
        <v>0.000340000000000007</v>
      </c>
      <c r="N2" s="62" t="n">
        <f aca="false">H2</f>
        <v>1.085</v>
      </c>
      <c r="O2" s="62" t="n">
        <f aca="false">AVERAGE(I2:I2)</f>
        <v>0</v>
      </c>
      <c r="P2" s="62" t="n">
        <f aca="false">AVERAGE(J2:J2)</f>
        <v>0.000340000000000007</v>
      </c>
      <c r="Q2" s="62" t="n">
        <f aca="false">AVERAGE(J2:J2)</f>
        <v>0.000340000000000007</v>
      </c>
      <c r="R2" s="63" t="n">
        <f aca="false">IF(Q2=0,0,P2/Q2)</f>
        <v>1</v>
      </c>
    </row>
    <row r="3" customFormat="false" ht="15" hidden="false" customHeight="true" outlineLevel="0" collapsed="false">
      <c r="A3" s="60" t="n">
        <v>2</v>
      </c>
      <c r="B3" s="60" t="s">
        <v>250</v>
      </c>
      <c r="C3" s="60" t="s">
        <v>253</v>
      </c>
      <c r="D3" s="60" t="s">
        <v>252</v>
      </c>
      <c r="E3" s="61" t="n">
        <v>1.085</v>
      </c>
      <c r="F3" s="61" t="n">
        <v>1.08527</v>
      </c>
      <c r="G3" s="61" t="n">
        <v>1.08343</v>
      </c>
      <c r="H3" s="61" t="n">
        <v>1.08402</v>
      </c>
      <c r="I3" s="62" t="n">
        <f aca="false">ABS(H3-E3)</f>
        <v>0.000979999999999981</v>
      </c>
      <c r="J3" s="62" t="n">
        <f aca="false">F3-G3</f>
        <v>0.00184000000000006</v>
      </c>
      <c r="K3" s="63" t="n">
        <f aca="false">IF(J3=0,0,I3/J3)</f>
        <v>0.532608695652145</v>
      </c>
      <c r="L3" s="62" t="n">
        <f aca="false">MAX(F3-G3,ABS(F3-H2),ABS(G3-H2))</f>
        <v>0.00184000000000006</v>
      </c>
      <c r="M3" s="62" t="n">
        <f aca="false">AVERAGE(L2:L3)</f>
        <v>0.00109000000000004</v>
      </c>
      <c r="N3" s="62" t="n">
        <f aca="false">H3*0.0909090909090909+N2*(1-0.0909090909090909)</f>
        <v>1.08491090909091</v>
      </c>
      <c r="O3" s="62" t="n">
        <f aca="false">AVERAGE(I2:I3)</f>
        <v>0.00048999999999999</v>
      </c>
      <c r="P3" s="62" t="n">
        <f aca="false">AVERAGE(J2:J3)</f>
        <v>0.00109000000000004</v>
      </c>
      <c r="Q3" s="62" t="n">
        <f aca="false">AVERAGE(J2:J2)</f>
        <v>0.000340000000000007</v>
      </c>
      <c r="R3" s="63" t="n">
        <f aca="false">IF(Q3=0,0,P3/Q3)</f>
        <v>3.20588235294122</v>
      </c>
    </row>
    <row r="4" customFormat="false" ht="15" hidden="false" customHeight="true" outlineLevel="0" collapsed="false">
      <c r="A4" s="60" t="n">
        <v>3</v>
      </c>
      <c r="B4" s="60" t="s">
        <v>250</v>
      </c>
      <c r="C4" s="60" t="s">
        <v>254</v>
      </c>
      <c r="D4" s="60" t="s">
        <v>252</v>
      </c>
      <c r="E4" s="61" t="n">
        <v>1.08402</v>
      </c>
      <c r="F4" s="61" t="n">
        <v>1.08489</v>
      </c>
      <c r="G4" s="61" t="n">
        <v>1.08373</v>
      </c>
      <c r="H4" s="61" t="n">
        <v>1.08409</v>
      </c>
      <c r="I4" s="62" t="n">
        <f aca="false">ABS(H4-E4)</f>
        <v>7.00000000000145E-005</v>
      </c>
      <c r="J4" s="62" t="n">
        <f aca="false">F4-G4</f>
        <v>0.00115999999999983</v>
      </c>
      <c r="K4" s="63" t="n">
        <f aca="false">IF(J4=0,0,I4/J4)</f>
        <v>0.0603448275862284</v>
      </c>
      <c r="L4" s="62" t="n">
        <f aca="false">MAX(F4-G4,ABS(F4-H3),ABS(G4-H3))</f>
        <v>0.00115999999999983</v>
      </c>
      <c r="M4" s="62" t="n">
        <f aca="false">AVERAGE(L2:L4)</f>
        <v>0.0011133333333333</v>
      </c>
      <c r="N4" s="62" t="n">
        <f aca="false">H4*0.0909090909090909+N3*(1-0.0909090909090909)</f>
        <v>1.08483628099174</v>
      </c>
      <c r="O4" s="62" t="n">
        <f aca="false">AVERAGE(I2:I4)</f>
        <v>0.000349999999999999</v>
      </c>
      <c r="P4" s="62" t="n">
        <f aca="false">AVERAGE(J2:J4)</f>
        <v>0.0011133333333333</v>
      </c>
      <c r="Q4" s="62" t="n">
        <f aca="false">AVERAGE(J2:J2)</f>
        <v>0.000340000000000007</v>
      </c>
      <c r="R4" s="63" t="n">
        <f aca="false">IF(Q4=0,0,P4/Q4)</f>
        <v>3.2745098039214</v>
      </c>
    </row>
    <row r="5" customFormat="false" ht="15" hidden="false" customHeight="true" outlineLevel="0" collapsed="false">
      <c r="A5" s="60" t="n">
        <v>4</v>
      </c>
      <c r="B5" s="60" t="s">
        <v>250</v>
      </c>
      <c r="C5" s="60" t="s">
        <v>255</v>
      </c>
      <c r="D5" s="60" t="s">
        <v>252</v>
      </c>
      <c r="E5" s="61" t="n">
        <v>1.08409</v>
      </c>
      <c r="F5" s="61" t="n">
        <v>1.08438</v>
      </c>
      <c r="G5" s="61" t="n">
        <v>1.08319</v>
      </c>
      <c r="H5" s="61" t="n">
        <v>1.08341</v>
      </c>
      <c r="I5" s="62" t="n">
        <f aca="false">ABS(H5-E5)</f>
        <v>0.000680000000000014</v>
      </c>
      <c r="J5" s="62" t="n">
        <f aca="false">F5-G5</f>
        <v>0.0011899999999998</v>
      </c>
      <c r="K5" s="63" t="n">
        <f aca="false">IF(J5=0,0,I5/J5)</f>
        <v>0.571428571428678</v>
      </c>
      <c r="L5" s="62" t="n">
        <f aca="false">MAX(F5-G5,ABS(F5-H4),ABS(G5-H4))</f>
        <v>0.0011899999999998</v>
      </c>
      <c r="M5" s="62" t="n">
        <f aca="false">AVERAGE(L2:L5)</f>
        <v>0.00113249999999993</v>
      </c>
      <c r="N5" s="62" t="n">
        <f aca="false">H5*0.0909090909090909+N4*(1-0.0909090909090909)</f>
        <v>1.0847066190834</v>
      </c>
      <c r="O5" s="62" t="n">
        <f aca="false">AVERAGE(I2:I5)</f>
        <v>0.000432500000000002</v>
      </c>
      <c r="P5" s="62" t="n">
        <f aca="false">AVERAGE(J2:J5)</f>
        <v>0.00113249999999993</v>
      </c>
      <c r="Q5" s="62" t="n">
        <f aca="false">AVERAGE(J2:J2)</f>
        <v>0.000340000000000007</v>
      </c>
      <c r="R5" s="63" t="n">
        <f aca="false">IF(Q5=0,0,P5/Q5)</f>
        <v>3.33088235294089</v>
      </c>
    </row>
    <row r="6" customFormat="false" ht="15" hidden="false" customHeight="true" outlineLevel="0" collapsed="false">
      <c r="A6" s="60" t="n">
        <v>5</v>
      </c>
      <c r="B6" s="60" t="s">
        <v>250</v>
      </c>
      <c r="C6" s="60" t="s">
        <v>256</v>
      </c>
      <c r="D6" s="60" t="s">
        <v>252</v>
      </c>
      <c r="E6" s="61" t="n">
        <v>1.08341</v>
      </c>
      <c r="F6" s="61" t="n">
        <v>1.08408</v>
      </c>
      <c r="G6" s="61" t="n">
        <v>1.08339</v>
      </c>
      <c r="H6" s="61" t="n">
        <v>1.08352</v>
      </c>
      <c r="I6" s="62" t="n">
        <f aca="false">ABS(H6-E6)</f>
        <v>0.000110000000000055</v>
      </c>
      <c r="J6" s="62" t="n">
        <f aca="false">F6-G6</f>
        <v>0.000689999999999857</v>
      </c>
      <c r="K6" s="63" t="n">
        <f aca="false">IF(J6=0,0,I6/J6)</f>
        <v>0.159420289855184</v>
      </c>
      <c r="L6" s="62" t="n">
        <f aca="false">MAX(F6-G6,ABS(F6-H5),ABS(G6-H5))</f>
        <v>0.000689999999999857</v>
      </c>
      <c r="M6" s="62" t="n">
        <f aca="false">AVERAGE(L2:L6)</f>
        <v>0.00104399999999991</v>
      </c>
      <c r="N6" s="62" t="n">
        <f aca="false">H6*0.0909090909090909+N5*(1-0.0909090909090909)</f>
        <v>1.08459874462127</v>
      </c>
      <c r="O6" s="62" t="n">
        <f aca="false">AVERAGE(I2:I6)</f>
        <v>0.000368000000000013</v>
      </c>
      <c r="P6" s="62" t="n">
        <f aca="false">AVERAGE(J2:J6)</f>
        <v>0.00104399999999991</v>
      </c>
      <c r="Q6" s="62" t="n">
        <f aca="false">AVERAGE(J2:J2)</f>
        <v>0.000340000000000007</v>
      </c>
      <c r="R6" s="63" t="n">
        <f aca="false">IF(Q6=0,0,P6/Q6)</f>
        <v>3.0705882352938</v>
      </c>
    </row>
    <row r="7" customFormat="false" ht="15" hidden="false" customHeight="true" outlineLevel="0" collapsed="false">
      <c r="A7" s="60" t="n">
        <v>6</v>
      </c>
      <c r="B7" s="60" t="s">
        <v>250</v>
      </c>
      <c r="C7" s="60" t="s">
        <v>257</v>
      </c>
      <c r="D7" s="60" t="s">
        <v>258</v>
      </c>
      <c r="E7" s="61" t="n">
        <v>1.08352</v>
      </c>
      <c r="F7" s="61" t="n">
        <v>1.08509</v>
      </c>
      <c r="G7" s="61" t="n">
        <v>1.08325</v>
      </c>
      <c r="H7" s="61" t="n">
        <v>1.08429</v>
      </c>
      <c r="I7" s="62" t="n">
        <f aca="false">ABS(H7-E7)</f>
        <v>0.000769999999999937</v>
      </c>
      <c r="J7" s="62" t="n">
        <f aca="false">F7-G7</f>
        <v>0.00184000000000006</v>
      </c>
      <c r="K7" s="63" t="n">
        <f aca="false">IF(J7=0,0,I7/J7)</f>
        <v>0.418478260869517</v>
      </c>
      <c r="L7" s="62" t="n">
        <f aca="false">MAX(F7-G7,ABS(F7-H6),ABS(G7-H6))</f>
        <v>0.00184000000000006</v>
      </c>
      <c r="M7" s="62" t="n">
        <f aca="false">AVERAGE(L2:L7)</f>
        <v>0.0011766666666666</v>
      </c>
      <c r="N7" s="62" t="n">
        <f aca="false">H7*0.0909090909090909+N6*(1-0.0909090909090909)</f>
        <v>1.08457067692843</v>
      </c>
      <c r="O7" s="62" t="n">
        <f aca="false">AVERAGE(I2:I7)</f>
        <v>0.000435</v>
      </c>
      <c r="P7" s="62" t="n">
        <f aca="false">AVERAGE(J3:J7)</f>
        <v>0.00134399999999992</v>
      </c>
      <c r="Q7" s="62" t="n">
        <f aca="false">AVERAGE(J2:J2)</f>
        <v>0.000340000000000007</v>
      </c>
      <c r="R7" s="63" t="n">
        <f aca="false">IF(Q7=0,0,P7/Q7)</f>
        <v>3.95294117647028</v>
      </c>
    </row>
    <row r="8" customFormat="false" ht="15" hidden="false" customHeight="true" outlineLevel="0" collapsed="false">
      <c r="A8" s="60" t="n">
        <v>7</v>
      </c>
      <c r="B8" s="60" t="s">
        <v>250</v>
      </c>
      <c r="C8" s="60" t="s">
        <v>259</v>
      </c>
      <c r="D8" s="60" t="s">
        <v>258</v>
      </c>
      <c r="E8" s="61" t="n">
        <v>1.08429</v>
      </c>
      <c r="F8" s="61" t="n">
        <v>1.08506</v>
      </c>
      <c r="G8" s="61" t="n">
        <v>1.08109</v>
      </c>
      <c r="H8" s="61" t="n">
        <v>1.08219</v>
      </c>
      <c r="I8" s="62" t="n">
        <f aca="false">ABS(H8-E8)</f>
        <v>0.00209999999999999</v>
      </c>
      <c r="J8" s="62" t="n">
        <f aca="false">F8-G8</f>
        <v>0.00396999999999981</v>
      </c>
      <c r="K8" s="63" t="n">
        <f aca="false">IF(J8=0,0,I8/J8)</f>
        <v>0.528967254408084</v>
      </c>
      <c r="L8" s="62" t="n">
        <f aca="false">MAX(F8-G8,ABS(F8-H7),ABS(G8-H7))</f>
        <v>0.00396999999999981</v>
      </c>
      <c r="M8" s="62" t="n">
        <f aca="false">AVERAGE(L2:L8)</f>
        <v>0.0015757142857142</v>
      </c>
      <c r="N8" s="62" t="n">
        <f aca="false">H8*0.0909090909090909+N7*(1-0.0909090909090909)</f>
        <v>1.08435425175311</v>
      </c>
      <c r="O8" s="62" t="n">
        <f aca="false">AVERAGE(I2:I8)</f>
        <v>0.000672857142857142</v>
      </c>
      <c r="P8" s="62" t="n">
        <f aca="false">AVERAGE(J4:J8)</f>
        <v>0.00176999999999987</v>
      </c>
      <c r="Q8" s="62" t="n">
        <f aca="false">AVERAGE(J2:J3)</f>
        <v>0.00109000000000004</v>
      </c>
      <c r="R8" s="63" t="n">
        <f aca="false">IF(Q8=0,0,P8/Q8)</f>
        <v>1.623853211009</v>
      </c>
    </row>
    <row r="9" customFormat="false" ht="15" hidden="false" customHeight="true" outlineLevel="0" collapsed="false">
      <c r="A9" s="60" t="n">
        <v>8</v>
      </c>
      <c r="B9" s="60" t="s">
        <v>250</v>
      </c>
      <c r="C9" s="60" t="s">
        <v>118</v>
      </c>
      <c r="D9" s="60" t="s">
        <v>260</v>
      </c>
      <c r="E9" s="61" t="n">
        <v>1.08219</v>
      </c>
      <c r="F9" s="61" t="n">
        <v>1.08296</v>
      </c>
      <c r="G9" s="61" t="n">
        <v>1.08177</v>
      </c>
      <c r="H9" s="61" t="n">
        <v>1.08194</v>
      </c>
      <c r="I9" s="62" t="n">
        <f aca="false">ABS(H9-E9)</f>
        <v>0.000250000000000084</v>
      </c>
      <c r="J9" s="62" t="n">
        <f aca="false">F9-G9</f>
        <v>0.00119000000000002</v>
      </c>
      <c r="K9" s="63" t="n">
        <f aca="false">IF(J9=0,0,I9/J9)</f>
        <v>0.210084033613511</v>
      </c>
      <c r="L9" s="62" t="n">
        <f aca="false">MAX(F9-G9,ABS(F9-H8),ABS(G9-H8))</f>
        <v>0.00119000000000002</v>
      </c>
      <c r="M9" s="62" t="n">
        <f aca="false">AVERAGE(L2:L9)</f>
        <v>0.00152749999999993</v>
      </c>
      <c r="N9" s="62" t="n">
        <f aca="false">H9*0.0909090909090909+N8*(1-0.0909090909090909)</f>
        <v>1.08413477432101</v>
      </c>
      <c r="O9" s="62" t="n">
        <f aca="false">AVERAGE(I2:I9)</f>
        <v>0.000620000000000009</v>
      </c>
      <c r="P9" s="62" t="n">
        <f aca="false">AVERAGE(J5:J9)</f>
        <v>0.00177599999999991</v>
      </c>
      <c r="Q9" s="62" t="n">
        <f aca="false">AVERAGE(J2:J4)</f>
        <v>0.0011133333333333</v>
      </c>
      <c r="R9" s="63" t="n">
        <f aca="false">IF(Q9=0,0,P9/Q9)</f>
        <v>1.59520958083829</v>
      </c>
    </row>
    <row r="10" customFormat="false" ht="15" hidden="false" customHeight="true" outlineLevel="0" collapsed="false">
      <c r="A10" s="60" t="n">
        <v>9</v>
      </c>
      <c r="B10" s="60" t="s">
        <v>250</v>
      </c>
      <c r="C10" s="60" t="s">
        <v>261</v>
      </c>
      <c r="D10" s="60" t="s">
        <v>260</v>
      </c>
      <c r="E10" s="61" t="n">
        <v>1.08194</v>
      </c>
      <c r="F10" s="61" t="n">
        <v>1.08222</v>
      </c>
      <c r="G10" s="61" t="n">
        <v>1.08043</v>
      </c>
      <c r="H10" s="61" t="n">
        <v>1.08211</v>
      </c>
      <c r="I10" s="62" t="n">
        <f aca="false">ABS(H10-E10)</f>
        <v>0.000170000000000003</v>
      </c>
      <c r="J10" s="62" t="n">
        <f aca="false">F10-G10</f>
        <v>0.00178999999999996</v>
      </c>
      <c r="K10" s="63" t="n">
        <f aca="false">IF(J10=0,0,I10/J10)</f>
        <v>0.0949720670391103</v>
      </c>
      <c r="L10" s="62" t="n">
        <f aca="false">MAX(F10-G10,ABS(F10-H9),ABS(G10-H9))</f>
        <v>0.00178999999999996</v>
      </c>
      <c r="M10" s="62" t="n">
        <f aca="false">AVERAGE(L2:L10)</f>
        <v>0.0015566666666666</v>
      </c>
      <c r="N10" s="62" t="n">
        <f aca="false">H10*0.0909090909090909+N9*(1-0.0909090909090909)</f>
        <v>1.08395070392819</v>
      </c>
      <c r="O10" s="62" t="n">
        <f aca="false">AVERAGE(I2:I10)</f>
        <v>0.000570000000000009</v>
      </c>
      <c r="P10" s="62" t="n">
        <f aca="false">AVERAGE(J6:J10)</f>
        <v>0.00189599999999994</v>
      </c>
      <c r="Q10" s="62" t="n">
        <f aca="false">AVERAGE(J2:J5)</f>
        <v>0.00113249999999993</v>
      </c>
      <c r="R10" s="63" t="n">
        <f aca="false">IF(Q10=0,0,P10/Q10)</f>
        <v>1.67417218543052</v>
      </c>
    </row>
    <row r="11" customFormat="false" ht="15" hidden="false" customHeight="true" outlineLevel="0" collapsed="false">
      <c r="A11" s="60" t="n">
        <v>10</v>
      </c>
      <c r="B11" s="60" t="s">
        <v>250</v>
      </c>
      <c r="C11" s="60" t="s">
        <v>262</v>
      </c>
      <c r="D11" s="60" t="s">
        <v>260</v>
      </c>
      <c r="E11" s="61" t="n">
        <v>1.08211</v>
      </c>
      <c r="F11" s="61" t="n">
        <v>1.08214</v>
      </c>
      <c r="G11" s="61" t="n">
        <v>1.08145</v>
      </c>
      <c r="H11" s="61" t="n">
        <v>1.08152</v>
      </c>
      <c r="I11" s="62" t="n">
        <f aca="false">ABS(H11-E11)</f>
        <v>0.000589999999999868</v>
      </c>
      <c r="J11" s="62" t="n">
        <f aca="false">F11-G11</f>
        <v>0.000690000000000079</v>
      </c>
      <c r="K11" s="63" t="n">
        <f aca="false">IF(J11=0,0,I11/J11)</f>
        <v>0.855072463767827</v>
      </c>
      <c r="L11" s="62" t="n">
        <f aca="false">MAX(F11-G11,ABS(F11-H10),ABS(G11-H10))</f>
        <v>0.000690000000000079</v>
      </c>
      <c r="M11" s="62" t="n">
        <f aca="false">AVERAGE(L2:L11)</f>
        <v>0.00146999999999995</v>
      </c>
      <c r="N11" s="62" t="n">
        <f aca="false">H11*0.0909090909090909+N10*(1-0.0909090909090909)</f>
        <v>1.08372973084381</v>
      </c>
      <c r="O11" s="62" t="n">
        <f aca="false">AVERAGE(I2:I11)</f>
        <v>0.000571999999999995</v>
      </c>
      <c r="P11" s="62" t="n">
        <f aca="false">AVERAGE(J7:J11)</f>
        <v>0.00189599999999999</v>
      </c>
      <c r="Q11" s="62" t="n">
        <f aca="false">AVERAGE(J2:J6)</f>
        <v>0.00104399999999991</v>
      </c>
      <c r="R11" s="63" t="n">
        <f aca="false">IF(Q11=0,0,P11/Q11)</f>
        <v>1.81609195402313</v>
      </c>
    </row>
    <row r="12" customFormat="false" ht="15" hidden="false" customHeight="true" outlineLevel="0" collapsed="false">
      <c r="A12" s="60" t="n">
        <v>11</v>
      </c>
      <c r="B12" s="60" t="s">
        <v>250</v>
      </c>
      <c r="C12" s="60" t="s">
        <v>263</v>
      </c>
      <c r="D12" s="60" t="s">
        <v>260</v>
      </c>
      <c r="E12" s="61" t="n">
        <v>1.08152</v>
      </c>
      <c r="F12" s="61" t="n">
        <v>1.0818</v>
      </c>
      <c r="G12" s="61" t="n">
        <v>1.07925</v>
      </c>
      <c r="H12" s="61" t="n">
        <v>1.07983</v>
      </c>
      <c r="I12" s="62" t="n">
        <f aca="false">ABS(H12-E12)</f>
        <v>0.00168999999999997</v>
      </c>
      <c r="J12" s="62" t="n">
        <f aca="false">F12-G12</f>
        <v>0.00255000000000005</v>
      </c>
      <c r="K12" s="63" t="n">
        <f aca="false">IF(J12=0,0,I12/J12)</f>
        <v>0.66274509803919</v>
      </c>
      <c r="L12" s="62" t="n">
        <f aca="false">MAX(F12-G12,ABS(F12-H11),ABS(G12-H11))</f>
        <v>0.00255000000000005</v>
      </c>
      <c r="M12" s="62" t="n">
        <f aca="false">AVERAGE(L2:L12)</f>
        <v>0.00156818181818178</v>
      </c>
      <c r="N12" s="62" t="n">
        <f aca="false">H12*0.0909090909090909+N11*(1-0.0909090909090909)</f>
        <v>1.08337520985801</v>
      </c>
      <c r="O12" s="62" t="n">
        <f aca="false">AVERAGE(I2:I12)</f>
        <v>0.000673636363636356</v>
      </c>
      <c r="P12" s="62" t="n">
        <f aca="false">AVERAGE(J8:J12)</f>
        <v>0.00203799999999998</v>
      </c>
      <c r="Q12" s="62" t="n">
        <f aca="false">AVERAGE(J3:J7)</f>
        <v>0.00134399999999992</v>
      </c>
      <c r="R12" s="63" t="n">
        <f aca="false">IF(Q12=0,0,P12/Q12)</f>
        <v>1.51636904761912</v>
      </c>
    </row>
    <row r="13" customFormat="false" ht="15" hidden="false" customHeight="true" outlineLevel="0" collapsed="false">
      <c r="A13" s="60" t="n">
        <v>12</v>
      </c>
      <c r="B13" s="60" t="s">
        <v>250</v>
      </c>
      <c r="C13" s="60" t="s">
        <v>264</v>
      </c>
      <c r="D13" s="60" t="s">
        <v>260</v>
      </c>
      <c r="E13" s="61" t="n">
        <v>1.07983</v>
      </c>
      <c r="F13" s="61" t="n">
        <v>1.08047</v>
      </c>
      <c r="G13" s="61" t="n">
        <v>1.07846</v>
      </c>
      <c r="H13" s="61" t="n">
        <v>1.07894</v>
      </c>
      <c r="I13" s="62" t="n">
        <f aca="false">ABS(H13-E13)</f>
        <v>0.000890000000000057</v>
      </c>
      <c r="J13" s="62" t="n">
        <f aca="false">F13-G13</f>
        <v>0.00201000000000007</v>
      </c>
      <c r="K13" s="63" t="n">
        <f aca="false">IF(J13=0,0,I13/J13)</f>
        <v>0.442786069651755</v>
      </c>
      <c r="L13" s="62" t="n">
        <f aca="false">MAX(F13-G13,ABS(F13-H12),ABS(G13-H12))</f>
        <v>0.00201000000000007</v>
      </c>
      <c r="M13" s="62" t="n">
        <f aca="false">AVERAGE(L2:L13)</f>
        <v>0.00160499999999997</v>
      </c>
      <c r="N13" s="62" t="n">
        <f aca="false">H13*0.0909090909090909+N12*(1-0.0909090909090909)</f>
        <v>1.08297200896183</v>
      </c>
      <c r="O13" s="62" t="n">
        <f aca="false">AVERAGE(I2:I13)</f>
        <v>0.000691666666666665</v>
      </c>
      <c r="P13" s="62" t="n">
        <f aca="false">AVERAGE(J9:J13)</f>
        <v>0.00164600000000004</v>
      </c>
      <c r="Q13" s="62" t="n">
        <f aca="false">AVERAGE(J4:J8)</f>
        <v>0.00176999999999987</v>
      </c>
      <c r="R13" s="63" t="n">
        <f aca="false">IF(Q13=0,0,P13/Q13)</f>
        <v>0.929943502824947</v>
      </c>
    </row>
    <row r="14" customFormat="false" ht="15" hidden="false" customHeight="true" outlineLevel="0" collapsed="false">
      <c r="A14" s="60" t="n">
        <v>13</v>
      </c>
      <c r="B14" s="60" t="s">
        <v>250</v>
      </c>
      <c r="C14" s="60" t="s">
        <v>265</v>
      </c>
      <c r="D14" s="60" t="s">
        <v>258</v>
      </c>
      <c r="E14" s="61" t="n">
        <v>1.07894</v>
      </c>
      <c r="F14" s="61" t="n">
        <v>1.07947</v>
      </c>
      <c r="G14" s="61" t="n">
        <v>1.07856</v>
      </c>
      <c r="H14" s="61" t="n">
        <v>1.07891</v>
      </c>
      <c r="I14" s="62" t="n">
        <f aca="false">ABS(H14-E14)</f>
        <v>2.99999999999745E-005</v>
      </c>
      <c r="J14" s="62" t="n">
        <f aca="false">F14-G14</f>
        <v>0.000909999999999966</v>
      </c>
      <c r="K14" s="63" t="n">
        <f aca="false">IF(J14=0,0,I14/J14)</f>
        <v>0.0329670329670062</v>
      </c>
      <c r="L14" s="62" t="n">
        <f aca="false">MAX(F14-G14,ABS(F14-H13),ABS(G14-H13))</f>
        <v>0.000909999999999966</v>
      </c>
      <c r="M14" s="62" t="n">
        <f aca="false">AVERAGE(L2:L14)</f>
        <v>0.00155153846153843</v>
      </c>
      <c r="N14" s="62" t="n">
        <f aca="false">H14*0.0909090909090909+N13*(1-0.0909090909090909)</f>
        <v>1.08260273541984</v>
      </c>
      <c r="O14" s="62" t="n">
        <f aca="false">AVERAGE(I2:I14)</f>
        <v>0.000640769230769227</v>
      </c>
      <c r="P14" s="62" t="n">
        <f aca="false">AVERAGE(J10:J14)</f>
        <v>0.00159000000000002</v>
      </c>
      <c r="Q14" s="62" t="n">
        <f aca="false">AVERAGE(J5:J9)</f>
        <v>0.00177599999999991</v>
      </c>
      <c r="R14" s="63" t="n">
        <f aca="false">IF(Q14=0,0,P14/Q14)</f>
        <v>0.895270270270329</v>
      </c>
    </row>
    <row r="15" customFormat="false" ht="15" hidden="false" customHeight="true" outlineLevel="0" collapsed="false">
      <c r="A15" s="60" t="n">
        <v>14</v>
      </c>
      <c r="B15" s="60" t="s">
        <v>202</v>
      </c>
      <c r="C15" s="60" t="s">
        <v>251</v>
      </c>
      <c r="D15" s="60" t="s">
        <v>252</v>
      </c>
      <c r="E15" s="61" t="n">
        <v>1.07891</v>
      </c>
      <c r="F15" s="61" t="n">
        <v>1.07897</v>
      </c>
      <c r="G15" s="61" t="n">
        <v>1.07875</v>
      </c>
      <c r="H15" s="61" t="n">
        <v>1.07878</v>
      </c>
      <c r="I15" s="62" t="n">
        <f aca="false">ABS(H15-E15)</f>
        <v>0.000129999999999963</v>
      </c>
      <c r="J15" s="62" t="n">
        <f aca="false">F15-G15</f>
        <v>0.000219999999999887</v>
      </c>
      <c r="K15" s="63" t="n">
        <f aca="false">IF(J15=0,0,I15/J15)</f>
        <v>0.590909090909229</v>
      </c>
      <c r="L15" s="62" t="n">
        <f aca="false">MAX(F15-G15,ABS(F15-H14),ABS(G15-H14))</f>
        <v>0.000219999999999887</v>
      </c>
      <c r="M15" s="62" t="n">
        <f aca="false">AVERAGE(L2:L15)</f>
        <v>0.00145642857142853</v>
      </c>
      <c r="N15" s="62" t="n">
        <f aca="false">H15*0.0909090909090909+N14*(1-0.0909090909090909)</f>
        <v>1.08225521401804</v>
      </c>
      <c r="O15" s="62" t="n">
        <f aca="false">AVERAGE(I2:I15)</f>
        <v>0.000604285714285708</v>
      </c>
      <c r="P15" s="62" t="n">
        <f aca="false">AVERAGE(J11:J15)</f>
        <v>0.00127600000000001</v>
      </c>
      <c r="Q15" s="62" t="n">
        <f aca="false">AVERAGE(J6:J10)</f>
        <v>0.00189599999999994</v>
      </c>
      <c r="R15" s="63" t="n">
        <f aca="false">IF(Q15=0,0,P15/Q15)</f>
        <v>0.672995780590743</v>
      </c>
    </row>
    <row r="16" customFormat="false" ht="15" hidden="false" customHeight="true" outlineLevel="0" collapsed="false">
      <c r="A16" s="60" t="n">
        <v>15</v>
      </c>
      <c r="B16" s="60" t="s">
        <v>202</v>
      </c>
      <c r="C16" s="60" t="s">
        <v>253</v>
      </c>
      <c r="D16" s="60" t="s">
        <v>252</v>
      </c>
      <c r="E16" s="61" t="n">
        <v>1.07878</v>
      </c>
      <c r="F16" s="61" t="n">
        <v>1.07883</v>
      </c>
      <c r="G16" s="61" t="n">
        <v>1.07662</v>
      </c>
      <c r="H16" s="61" t="n">
        <v>1.07744</v>
      </c>
      <c r="I16" s="62" t="n">
        <f aca="false">ABS(H16-E16)</f>
        <v>0.00134000000000012</v>
      </c>
      <c r="J16" s="62" t="n">
        <f aca="false">F16-G16</f>
        <v>0.00221000000000005</v>
      </c>
      <c r="K16" s="63" t="n">
        <f aca="false">IF(J16=0,0,I16/J16)</f>
        <v>0.606334841629001</v>
      </c>
      <c r="L16" s="62" t="n">
        <f aca="false">MAX(F16-G16,ABS(F16-H15),ABS(G16-H15))</f>
        <v>0.00221000000000005</v>
      </c>
      <c r="M16" s="62" t="n">
        <f aca="false">AVERAGE(L3:L16)</f>
        <v>0.00158999999999996</v>
      </c>
      <c r="N16" s="62" t="n">
        <f aca="false">H16*0.0909090909090909+N15*(1-0.0909090909090909)</f>
        <v>1.08181746728913</v>
      </c>
      <c r="O16" s="62" t="n">
        <f aca="false">AVERAGE(I3:I16)</f>
        <v>0.000700000000000002</v>
      </c>
      <c r="P16" s="62" t="n">
        <f aca="false">AVERAGE(J12:J16)</f>
        <v>0.00158</v>
      </c>
      <c r="Q16" s="62" t="n">
        <f aca="false">AVERAGE(J7:J11)</f>
        <v>0.00189599999999999</v>
      </c>
      <c r="R16" s="63" t="n">
        <f aca="false">IF(Q16=0,0,P16/Q16)</f>
        <v>0.833333333333341</v>
      </c>
    </row>
    <row r="17" customFormat="false" ht="15" hidden="false" customHeight="true" outlineLevel="0" collapsed="false">
      <c r="A17" s="60" t="n">
        <v>16</v>
      </c>
      <c r="B17" s="60" t="s">
        <v>202</v>
      </c>
      <c r="C17" s="60" t="s">
        <v>254</v>
      </c>
      <c r="D17" s="60" t="s">
        <v>252</v>
      </c>
      <c r="E17" s="61" t="n">
        <v>1.07744</v>
      </c>
      <c r="F17" s="61" t="n">
        <v>1.07795</v>
      </c>
      <c r="G17" s="61" t="n">
        <v>1.07566</v>
      </c>
      <c r="H17" s="61" t="n">
        <v>1.07574</v>
      </c>
      <c r="I17" s="62" t="n">
        <f aca="false">ABS(H17-E17)</f>
        <v>0.00170000000000003</v>
      </c>
      <c r="J17" s="62" t="n">
        <f aca="false">F17-G17</f>
        <v>0.0022899999999999</v>
      </c>
      <c r="K17" s="63" t="n">
        <f aca="false">IF(J17=0,0,I17/J17)</f>
        <v>0.742358078602667</v>
      </c>
      <c r="L17" s="62" t="n">
        <f aca="false">MAX(F17-G17,ABS(F17-H16),ABS(G17-H16))</f>
        <v>0.0022899999999999</v>
      </c>
      <c r="M17" s="62" t="n">
        <f aca="false">AVERAGE(L4:L17)</f>
        <v>0.00162214285714281</v>
      </c>
      <c r="N17" s="62" t="n">
        <f aca="false">H17*0.0909090909090909+N16*(1-0.0909090909090909)</f>
        <v>1.08126497026284</v>
      </c>
      <c r="O17" s="62" t="n">
        <f aca="false">AVERAGE(I4:I17)</f>
        <v>0.000751428571428578</v>
      </c>
      <c r="P17" s="62" t="n">
        <f aca="false">AVERAGE(J13:J17)</f>
        <v>0.00152799999999997</v>
      </c>
      <c r="Q17" s="62" t="n">
        <f aca="false">AVERAGE(J8:J12)</f>
        <v>0.00203799999999998</v>
      </c>
      <c r="R17" s="63" t="n">
        <f aca="false">IF(Q17=0,0,P17/Q17)</f>
        <v>0.74975466143277</v>
      </c>
    </row>
    <row r="18" customFormat="false" ht="15" hidden="false" customHeight="true" outlineLevel="0" collapsed="false">
      <c r="A18" s="60" t="n">
        <v>17</v>
      </c>
      <c r="B18" s="60" t="s">
        <v>202</v>
      </c>
      <c r="C18" s="60" t="s">
        <v>255</v>
      </c>
      <c r="D18" s="60" t="s">
        <v>252</v>
      </c>
      <c r="E18" s="61" t="n">
        <v>1.07574</v>
      </c>
      <c r="F18" s="61" t="n">
        <v>1.07694</v>
      </c>
      <c r="G18" s="61" t="n">
        <v>1.07457</v>
      </c>
      <c r="H18" s="61" t="n">
        <v>1.07503</v>
      </c>
      <c r="I18" s="62" t="n">
        <f aca="false">ABS(H18-E18)</f>
        <v>0.000709999999999988</v>
      </c>
      <c r="J18" s="62" t="n">
        <f aca="false">F18-G18</f>
        <v>0.00236999999999998</v>
      </c>
      <c r="K18" s="63" t="n">
        <f aca="false">IF(J18=0,0,I18/J18)</f>
        <v>0.299578059071727</v>
      </c>
      <c r="L18" s="62" t="n">
        <f aca="false">MAX(F18-G18,ABS(F18-H17),ABS(G18-H17))</f>
        <v>0.00236999999999998</v>
      </c>
      <c r="M18" s="62" t="n">
        <f aca="false">AVERAGE(L5:L18)</f>
        <v>0.00170857142857139</v>
      </c>
      <c r="N18" s="62" t="n">
        <f aca="false">H18*0.0909090909090909+N17*(1-0.0909090909090909)</f>
        <v>1.0806981547844</v>
      </c>
      <c r="O18" s="62" t="n">
        <f aca="false">AVERAGE(I5:I18)</f>
        <v>0.000797142857142861</v>
      </c>
      <c r="P18" s="62" t="n">
        <f aca="false">AVERAGE(J14:J18)</f>
        <v>0.00159999999999996</v>
      </c>
      <c r="Q18" s="62" t="n">
        <f aca="false">AVERAGE(J9:J13)</f>
        <v>0.00164600000000004</v>
      </c>
      <c r="R18" s="63" t="n">
        <f aca="false">IF(Q18=0,0,P18/Q18)</f>
        <v>0.972053462940414</v>
      </c>
    </row>
    <row r="19" customFormat="false" ht="15" hidden="false" customHeight="true" outlineLevel="0" collapsed="false">
      <c r="A19" s="60" t="n">
        <v>18</v>
      </c>
      <c r="B19" s="60" t="s">
        <v>202</v>
      </c>
      <c r="C19" s="60" t="s">
        <v>256</v>
      </c>
      <c r="D19" s="60" t="s">
        <v>252</v>
      </c>
      <c r="E19" s="61" t="n">
        <v>1.07503</v>
      </c>
      <c r="F19" s="61" t="n">
        <v>1.07507</v>
      </c>
      <c r="G19" s="61" t="n">
        <v>1.07336</v>
      </c>
      <c r="H19" s="61" t="n">
        <v>1.07371</v>
      </c>
      <c r="I19" s="62" t="n">
        <f aca="false">ABS(H19-E19)</f>
        <v>0.00131999999999999</v>
      </c>
      <c r="J19" s="62" t="n">
        <f aca="false">F19-G19</f>
        <v>0.00170999999999988</v>
      </c>
      <c r="K19" s="63" t="n">
        <f aca="false">IF(J19=0,0,I19/J19)</f>
        <v>0.771929824561451</v>
      </c>
      <c r="L19" s="62" t="n">
        <f aca="false">MAX(F19-G19,ABS(F19-H18),ABS(G19-H18))</f>
        <v>0.00170999999999988</v>
      </c>
      <c r="M19" s="62" t="n">
        <f aca="false">AVERAGE(L6:L19)</f>
        <v>0.00174571428571426</v>
      </c>
      <c r="N19" s="62" t="n">
        <f aca="false">H19*0.0909090909090909+N18*(1-0.0909090909090909)</f>
        <v>1.08006286798582</v>
      </c>
      <c r="O19" s="62" t="n">
        <f aca="false">AVERAGE(I6:I19)</f>
        <v>0.000842857142857145</v>
      </c>
      <c r="P19" s="62" t="n">
        <f aca="false">AVERAGE(J15:J19)</f>
        <v>0.00175999999999994</v>
      </c>
      <c r="Q19" s="62" t="n">
        <f aca="false">AVERAGE(J10:J14)</f>
        <v>0.00159000000000002</v>
      </c>
      <c r="R19" s="63" t="n">
        <f aca="false">IF(Q19=0,0,P19/Q19)</f>
        <v>1.10691823899366</v>
      </c>
    </row>
    <row r="20" customFormat="false" ht="15" hidden="false" customHeight="true" outlineLevel="0" collapsed="false">
      <c r="A20" s="60" t="n">
        <v>19</v>
      </c>
      <c r="B20" s="60" t="s">
        <v>202</v>
      </c>
      <c r="C20" s="60" t="s">
        <v>257</v>
      </c>
      <c r="D20" s="60" t="s">
        <v>258</v>
      </c>
      <c r="E20" s="61" t="n">
        <v>1.07371</v>
      </c>
      <c r="F20" s="61" t="n">
        <v>1.07412</v>
      </c>
      <c r="G20" s="61" t="n">
        <v>1.07346</v>
      </c>
      <c r="H20" s="61" t="n">
        <v>1.0735</v>
      </c>
      <c r="I20" s="62" t="n">
        <f aca="false">ABS(H20-E20)</f>
        <v>0.000210000000000043</v>
      </c>
      <c r="J20" s="62" t="n">
        <f aca="false">F20-G20</f>
        <v>0.000659999999999883</v>
      </c>
      <c r="K20" s="63" t="n">
        <f aca="false">IF(J20=0,0,I20/J20)</f>
        <v>0.318181818181941</v>
      </c>
      <c r="L20" s="62" t="n">
        <f aca="false">MAX(F20-G20,ABS(F20-H19),ABS(G20-H19))</f>
        <v>0.000659999999999883</v>
      </c>
      <c r="M20" s="62" t="n">
        <f aca="false">AVERAGE(L7:L20)</f>
        <v>0.0017435714285714</v>
      </c>
      <c r="N20" s="62" t="n">
        <f aca="false">H20*0.0909090909090909+N19*(1-0.0909090909090909)</f>
        <v>1.07946624362347</v>
      </c>
      <c r="O20" s="62" t="n">
        <f aca="false">AVERAGE(I7:I20)</f>
        <v>0.000850000000000002</v>
      </c>
      <c r="P20" s="62" t="n">
        <f aca="false">AVERAGE(J16:J20)</f>
        <v>0.00184799999999994</v>
      </c>
      <c r="Q20" s="62" t="n">
        <f aca="false">AVERAGE(J11:J15)</f>
        <v>0.00127600000000001</v>
      </c>
      <c r="R20" s="63" t="n">
        <f aca="false">IF(Q20=0,0,P20/Q20)</f>
        <v>1.44827586206891</v>
      </c>
    </row>
    <row r="21" customFormat="false" ht="15" hidden="false" customHeight="true" outlineLevel="0" collapsed="false">
      <c r="A21" s="60" t="n">
        <v>20</v>
      </c>
      <c r="B21" s="60" t="s">
        <v>202</v>
      </c>
      <c r="C21" s="60" t="s">
        <v>259</v>
      </c>
      <c r="D21" s="60" t="s">
        <v>258</v>
      </c>
      <c r="E21" s="61" t="n">
        <v>1.0735</v>
      </c>
      <c r="F21" s="61" t="n">
        <v>1.0751</v>
      </c>
      <c r="G21" s="61" t="n">
        <v>1.0731</v>
      </c>
      <c r="H21" s="61" t="n">
        <v>1.07424</v>
      </c>
      <c r="I21" s="62" t="n">
        <f aca="false">ABS(H21-E21)</f>
        <v>0.000740000000000185</v>
      </c>
      <c r="J21" s="62" t="n">
        <f aca="false">F21-G21</f>
        <v>0.002</v>
      </c>
      <c r="K21" s="63" t="n">
        <f aca="false">IF(J21=0,0,I21/J21)</f>
        <v>0.370000000000092</v>
      </c>
      <c r="L21" s="62" t="n">
        <f aca="false">MAX(F21-G21,ABS(F21-H20),ABS(G21-H20))</f>
        <v>0.002</v>
      </c>
      <c r="M21" s="62" t="n">
        <f aca="false">AVERAGE(L8:L21)</f>
        <v>0.00175499999999997</v>
      </c>
      <c r="N21" s="62" t="n">
        <f aca="false">H21*0.0909090909090909+N20*(1-0.0909090909090909)</f>
        <v>1.07899113056679</v>
      </c>
      <c r="O21" s="62" t="n">
        <f aca="false">AVERAGE(I8:I21)</f>
        <v>0.000847857142857162</v>
      </c>
      <c r="P21" s="62" t="n">
        <f aca="false">AVERAGE(J17:J21)</f>
        <v>0.00180599999999993</v>
      </c>
      <c r="Q21" s="62" t="n">
        <f aca="false">AVERAGE(J12:J16)</f>
        <v>0.00158</v>
      </c>
      <c r="R21" s="63" t="n">
        <f aca="false">IF(Q21=0,0,P21/Q21)</f>
        <v>1.1430379746835</v>
      </c>
    </row>
    <row r="22" customFormat="false" ht="15" hidden="false" customHeight="true" outlineLevel="0" collapsed="false">
      <c r="A22" s="60" t="n">
        <v>21</v>
      </c>
      <c r="B22" s="60" t="s">
        <v>202</v>
      </c>
      <c r="C22" s="60" t="s">
        <v>118</v>
      </c>
      <c r="D22" s="60" t="s">
        <v>260</v>
      </c>
      <c r="E22" s="61" t="n">
        <v>1.07424</v>
      </c>
      <c r="F22" s="61" t="n">
        <v>1.07474</v>
      </c>
      <c r="G22" s="61" t="n">
        <v>1.07416</v>
      </c>
      <c r="H22" s="61" t="n">
        <v>1.07446</v>
      </c>
      <c r="I22" s="62" t="n">
        <f aca="false">ABS(H22-E22)</f>
        <v>0.000219999999999887</v>
      </c>
      <c r="J22" s="62" t="n">
        <f aca="false">F22-G22</f>
        <v>0.000580000000000025</v>
      </c>
      <c r="K22" s="63" t="n">
        <f aca="false">IF(J22=0,0,I22/J22)</f>
        <v>0.379310344827375</v>
      </c>
      <c r="L22" s="62" t="n">
        <f aca="false">MAX(F22-G22,ABS(F22-H21),ABS(G22-H21))</f>
        <v>0.000580000000000025</v>
      </c>
      <c r="M22" s="62" t="n">
        <f aca="false">AVERAGE(L9:L22)</f>
        <v>0.00151285714285713</v>
      </c>
      <c r="N22" s="62" t="n">
        <f aca="false">H22*0.0909090909090909+N21*(1-0.0909090909090909)</f>
        <v>1.07857920960618</v>
      </c>
      <c r="O22" s="62" t="n">
        <f aca="false">AVERAGE(I9:I22)</f>
        <v>0.00071357142857144</v>
      </c>
      <c r="P22" s="62" t="n">
        <f aca="false">AVERAGE(J18:J22)</f>
        <v>0.00146399999999995</v>
      </c>
      <c r="Q22" s="62" t="n">
        <f aca="false">AVERAGE(J13:J17)</f>
        <v>0.00152799999999997</v>
      </c>
      <c r="R22" s="63" t="n">
        <f aca="false">IF(Q22=0,0,P22/Q22)</f>
        <v>0.95811518324606</v>
      </c>
    </row>
    <row r="23" customFormat="false" ht="15" hidden="false" customHeight="true" outlineLevel="0" collapsed="false">
      <c r="A23" s="60" t="n">
        <v>22</v>
      </c>
      <c r="B23" s="60" t="s">
        <v>202</v>
      </c>
      <c r="C23" s="60" t="s">
        <v>261</v>
      </c>
      <c r="D23" s="60" t="s">
        <v>260</v>
      </c>
      <c r="E23" s="61" t="n">
        <v>1.07446</v>
      </c>
      <c r="F23" s="61" t="n">
        <v>1.07481</v>
      </c>
      <c r="G23" s="61" t="n">
        <v>1.07304</v>
      </c>
      <c r="H23" s="61" t="n">
        <v>1.07315</v>
      </c>
      <c r="I23" s="62" t="n">
        <f aca="false">ABS(H23-E23)</f>
        <v>0.00130999999999992</v>
      </c>
      <c r="J23" s="62" t="n">
        <f aca="false">F23-G23</f>
        <v>0.00177000000000005</v>
      </c>
      <c r="K23" s="63" t="n">
        <f aca="false">IF(J23=0,0,I23/J23)</f>
        <v>0.740112994350218</v>
      </c>
      <c r="L23" s="62" t="n">
        <f aca="false">MAX(F23-G23,ABS(F23-H22),ABS(G23-H22))</f>
        <v>0.00177000000000005</v>
      </c>
      <c r="M23" s="62" t="n">
        <f aca="false">AVERAGE(L10:L23)</f>
        <v>0.0015542857142857</v>
      </c>
      <c r="N23" s="62" t="n">
        <f aca="false">H23*0.0909090909090909+N22*(1-0.0909090909090909)</f>
        <v>1.07808564509652</v>
      </c>
      <c r="O23" s="62" t="n">
        <f aca="false">AVERAGE(I10:I23)</f>
        <v>0.000789285714285715</v>
      </c>
      <c r="P23" s="62" t="n">
        <f aca="false">AVERAGE(J19:J23)</f>
        <v>0.00134399999999997</v>
      </c>
      <c r="Q23" s="62" t="n">
        <f aca="false">AVERAGE(J14:J18)</f>
        <v>0.00159999999999996</v>
      </c>
      <c r="R23" s="63" t="n">
        <f aca="false">IF(Q23=0,0,P23/Q23)</f>
        <v>0.840000000000002</v>
      </c>
    </row>
    <row r="24" customFormat="false" ht="15" hidden="false" customHeight="true" outlineLevel="0" collapsed="false">
      <c r="A24" s="60" t="n">
        <v>23</v>
      </c>
      <c r="B24" s="60" t="s">
        <v>202</v>
      </c>
      <c r="C24" s="60" t="s">
        <v>262</v>
      </c>
      <c r="D24" s="60" t="s">
        <v>260</v>
      </c>
      <c r="E24" s="61" t="n">
        <v>1.07315</v>
      </c>
      <c r="F24" s="61" t="n">
        <v>1.07483</v>
      </c>
      <c r="G24" s="61" t="n">
        <v>1.07236</v>
      </c>
      <c r="H24" s="61" t="n">
        <v>1.07414</v>
      </c>
      <c r="I24" s="62" t="n">
        <f aca="false">ABS(H24-E24)</f>
        <v>0.000990000000000046</v>
      </c>
      <c r="J24" s="62" t="n">
        <f aca="false">F24-G24</f>
        <v>0.00246999999999997</v>
      </c>
      <c r="K24" s="63" t="n">
        <f aca="false">IF(J24=0,0,I24/J24)</f>
        <v>0.400809716599214</v>
      </c>
      <c r="L24" s="62" t="n">
        <f aca="false">MAX(F24-G24,ABS(F24-H23),ABS(G24-H23))</f>
        <v>0.00246999999999997</v>
      </c>
      <c r="M24" s="62" t="n">
        <f aca="false">AVERAGE(L11:L24)</f>
        <v>0.00160285714285713</v>
      </c>
      <c r="N24" s="62" t="n">
        <f aca="false">H24*0.0909090909090909+N23*(1-0.0909090909090909)</f>
        <v>1.07772695008775</v>
      </c>
      <c r="O24" s="62" t="n">
        <f aca="false">AVERAGE(I11:I24)</f>
        <v>0.000847857142857146</v>
      </c>
      <c r="P24" s="62" t="n">
        <f aca="false">AVERAGE(J20:J24)</f>
        <v>0.00149599999999999</v>
      </c>
      <c r="Q24" s="62" t="n">
        <f aca="false">AVERAGE(J15:J19)</f>
        <v>0.00175999999999994</v>
      </c>
      <c r="R24" s="63" t="n">
        <f aca="false">IF(Q24=0,0,P24/Q24)</f>
        <v>0.850000000000022</v>
      </c>
    </row>
    <row r="25" customFormat="false" ht="15" hidden="false" customHeight="true" outlineLevel="0" collapsed="false">
      <c r="A25" s="60" t="n">
        <v>24</v>
      </c>
      <c r="B25" s="60" t="s">
        <v>202</v>
      </c>
      <c r="C25" s="60" t="s">
        <v>263</v>
      </c>
      <c r="D25" s="60" t="s">
        <v>260</v>
      </c>
      <c r="E25" s="61" t="n">
        <v>1.07414</v>
      </c>
      <c r="F25" s="61" t="n">
        <v>1.07453</v>
      </c>
      <c r="G25" s="61" t="n">
        <v>1.07207</v>
      </c>
      <c r="H25" s="61" t="n">
        <v>1.07327</v>
      </c>
      <c r="I25" s="62" t="n">
        <f aca="false">ABS(H25-E25)</f>
        <v>0.000870000000000148</v>
      </c>
      <c r="J25" s="62" t="n">
        <f aca="false">F25-G25</f>
        <v>0.00245999999999991</v>
      </c>
      <c r="K25" s="63" t="n">
        <f aca="false">IF(J25=0,0,I25/J25)</f>
        <v>0.35365853658544</v>
      </c>
      <c r="L25" s="62" t="n">
        <f aca="false">MAX(F25-G25,ABS(F25-H24),ABS(G25-H24))</f>
        <v>0.00245999999999991</v>
      </c>
      <c r="M25" s="62" t="n">
        <f aca="false">AVERAGE(L12:L25)</f>
        <v>0.00172928571428569</v>
      </c>
      <c r="N25" s="62" t="n">
        <f aca="false">H25*0.0909090909090909+N24*(1-0.0909090909090909)</f>
        <v>1.07732177280704</v>
      </c>
      <c r="O25" s="62" t="n">
        <f aca="false">AVERAGE(I12:I25)</f>
        <v>0.000867857142857166</v>
      </c>
      <c r="P25" s="62" t="n">
        <f aca="false">AVERAGE(J21:J25)</f>
        <v>0.00185599999999999</v>
      </c>
      <c r="Q25" s="62" t="n">
        <f aca="false">AVERAGE(J16:J20)</f>
        <v>0.00184799999999994</v>
      </c>
      <c r="R25" s="63" t="n">
        <f aca="false">IF(Q25=0,0,P25/Q25)</f>
        <v>1.00432900432903</v>
      </c>
    </row>
    <row r="26" customFormat="false" ht="15" hidden="false" customHeight="true" outlineLevel="0" collapsed="false">
      <c r="A26" s="60" t="n">
        <v>25</v>
      </c>
      <c r="B26" s="60" t="s">
        <v>202</v>
      </c>
      <c r="C26" s="60" t="s">
        <v>264</v>
      </c>
      <c r="D26" s="60" t="s">
        <v>260</v>
      </c>
      <c r="E26" s="61" t="n">
        <v>1.07327</v>
      </c>
      <c r="F26" s="61" t="n">
        <v>1.07333</v>
      </c>
      <c r="G26" s="61" t="n">
        <v>1.072</v>
      </c>
      <c r="H26" s="61" t="n">
        <v>1.07276</v>
      </c>
      <c r="I26" s="62" t="n">
        <f aca="false">ABS(H26-E26)</f>
        <v>0.00051000000000001</v>
      </c>
      <c r="J26" s="62" t="n">
        <f aca="false">F26-G26</f>
        <v>0.00132999999999983</v>
      </c>
      <c r="K26" s="63" t="n">
        <f aca="false">IF(J26=0,0,I26/J26)</f>
        <v>0.383458646616598</v>
      </c>
      <c r="L26" s="62" t="n">
        <f aca="false">MAX(F26-G26,ABS(F26-H25),ABS(G26-H25))</f>
        <v>0.00132999999999983</v>
      </c>
      <c r="M26" s="62" t="n">
        <f aca="false">AVERAGE(L13:L26)</f>
        <v>0.00164214285714281</v>
      </c>
      <c r="N26" s="62" t="n">
        <f aca="false">H26*0.0909090909090909+N25*(1-0.0909090909090909)</f>
        <v>1.07690706618822</v>
      </c>
      <c r="O26" s="62" t="n">
        <f aca="false">AVERAGE(I13:I26)</f>
        <v>0.000783571428571455</v>
      </c>
      <c r="P26" s="62" t="n">
        <f aca="false">AVERAGE(J22:J26)</f>
        <v>0.00172199999999996</v>
      </c>
      <c r="Q26" s="62" t="n">
        <f aca="false">AVERAGE(J17:J21)</f>
        <v>0.00180599999999993</v>
      </c>
      <c r="R26" s="63" t="n">
        <f aca="false">IF(Q26=0,0,P26/Q26)</f>
        <v>0.953488372093036</v>
      </c>
    </row>
    <row r="27" customFormat="false" ht="15" hidden="false" customHeight="true" outlineLevel="0" collapsed="false">
      <c r="A27" s="60" t="n">
        <v>26</v>
      </c>
      <c r="B27" s="60" t="s">
        <v>202</v>
      </c>
      <c r="C27" s="60" t="s">
        <v>265</v>
      </c>
      <c r="D27" s="60" t="s">
        <v>258</v>
      </c>
      <c r="E27" s="61" t="n">
        <v>1.07276</v>
      </c>
      <c r="F27" s="61" t="n">
        <v>1.07371</v>
      </c>
      <c r="G27" s="61" t="n">
        <v>1.07254</v>
      </c>
      <c r="H27" s="61" t="n">
        <v>1.07352</v>
      </c>
      <c r="I27" s="62" t="n">
        <f aca="false">ABS(H27-E27)</f>
        <v>0.000760000000000094</v>
      </c>
      <c r="J27" s="62" t="n">
        <f aca="false">F27-G27</f>
        <v>0.00116999999999989</v>
      </c>
      <c r="K27" s="63" t="n">
        <f aca="false">IF(J27=0,0,I27/J27)</f>
        <v>0.649572649572789</v>
      </c>
      <c r="L27" s="62" t="n">
        <f aca="false">MAX(F27-G27,ABS(F27-H26),ABS(G27-H26))</f>
        <v>0.00116999999999989</v>
      </c>
      <c r="M27" s="62" t="n">
        <f aca="false">AVERAGE(L14:L27)</f>
        <v>0.0015821428571428</v>
      </c>
      <c r="N27" s="62" t="n">
        <f aca="false">H27*0.0909090909090909+N26*(1-0.0909090909090909)</f>
        <v>1.0765991510802</v>
      </c>
      <c r="O27" s="62" t="n">
        <f aca="false">AVERAGE(I14:I27)</f>
        <v>0.000774285714285743</v>
      </c>
      <c r="P27" s="62" t="n">
        <f aca="false">AVERAGE(J23:J27)</f>
        <v>0.00183999999999993</v>
      </c>
      <c r="Q27" s="62" t="n">
        <f aca="false">AVERAGE(J18:J22)</f>
        <v>0.00146399999999995</v>
      </c>
      <c r="R27" s="63" t="n">
        <f aca="false">IF(Q27=0,0,P27/Q27)</f>
        <v>1.25683060109289</v>
      </c>
    </row>
    <row r="28" customFormat="false" ht="15" hidden="false" customHeight="true" outlineLevel="0" collapsed="false">
      <c r="A28" s="60" t="n">
        <v>27</v>
      </c>
      <c r="B28" s="60" t="s">
        <v>266</v>
      </c>
      <c r="C28" s="60" t="s">
        <v>251</v>
      </c>
      <c r="D28" s="60" t="s">
        <v>252</v>
      </c>
      <c r="E28" s="61" t="n">
        <v>1.07352</v>
      </c>
      <c r="F28" s="61" t="n">
        <v>1.07443</v>
      </c>
      <c r="G28" s="61" t="n">
        <v>1.07299</v>
      </c>
      <c r="H28" s="61" t="n">
        <v>1.07324</v>
      </c>
      <c r="I28" s="62" t="n">
        <f aca="false">ABS(H28-E28)</f>
        <v>0.000280000000000058</v>
      </c>
      <c r="J28" s="62" t="n">
        <f aca="false">F28-G28</f>
        <v>0.00143999999999989</v>
      </c>
      <c r="K28" s="63" t="n">
        <f aca="false">IF(J28=0,0,I28/J28)</f>
        <v>0.1944444444445</v>
      </c>
      <c r="L28" s="62" t="n">
        <f aca="false">MAX(F28-G28,ABS(F28-H27),ABS(G28-H27))</f>
        <v>0.00143999999999989</v>
      </c>
      <c r="M28" s="62" t="n">
        <f aca="false">AVERAGE(L15:L28)</f>
        <v>0.00161999999999994</v>
      </c>
      <c r="N28" s="62" t="n">
        <f aca="false">H28*0.0909090909090909+N27*(1-0.0909090909090909)</f>
        <v>1.07629377370927</v>
      </c>
      <c r="O28" s="62" t="n">
        <f aca="false">AVERAGE(I15:I28)</f>
        <v>0.000792142857142892</v>
      </c>
      <c r="P28" s="62" t="n">
        <f aca="false">AVERAGE(J24:J28)</f>
        <v>0.0017739999999999</v>
      </c>
      <c r="Q28" s="62" t="n">
        <f aca="false">AVERAGE(J19:J23)</f>
        <v>0.00134399999999997</v>
      </c>
      <c r="R28" s="63" t="n">
        <f aca="false">IF(Q28=0,0,P28/Q28)</f>
        <v>1.31994047619043</v>
      </c>
    </row>
    <row r="29" customFormat="false" ht="15" hidden="false" customHeight="true" outlineLevel="0" collapsed="false">
      <c r="A29" s="60" t="n">
        <v>28</v>
      </c>
      <c r="B29" s="60" t="s">
        <v>266</v>
      </c>
      <c r="C29" s="60" t="s">
        <v>253</v>
      </c>
      <c r="D29" s="60" t="s">
        <v>252</v>
      </c>
      <c r="E29" s="61" t="n">
        <v>1.07324</v>
      </c>
      <c r="F29" s="61" t="n">
        <v>1.07345</v>
      </c>
      <c r="G29" s="61" t="n">
        <v>1.07284</v>
      </c>
      <c r="H29" s="61" t="n">
        <v>1.07291</v>
      </c>
      <c r="I29" s="62" t="n">
        <f aca="false">ABS(H29-E29)</f>
        <v>0.000329999999999941</v>
      </c>
      <c r="J29" s="62" t="n">
        <f aca="false">F29-G29</f>
        <v>0.000609999999999999</v>
      </c>
      <c r="K29" s="63" t="n">
        <f aca="false">IF(J29=0,0,I29/J29)</f>
        <v>0.540983606557282</v>
      </c>
      <c r="L29" s="62" t="n">
        <f aca="false">MAX(F29-G29,ABS(F29-H28),ABS(G29-H28))</f>
        <v>0.000609999999999999</v>
      </c>
      <c r="M29" s="62" t="n">
        <f aca="false">AVERAGE(L16:L29)</f>
        <v>0.00164785714285709</v>
      </c>
      <c r="N29" s="62" t="n">
        <f aca="false">H29*0.0909090909090909+N28*(1-0.0909090909090909)</f>
        <v>1.07598615791752</v>
      </c>
      <c r="O29" s="62" t="n">
        <f aca="false">AVERAGE(I16:I29)</f>
        <v>0.000806428571428605</v>
      </c>
      <c r="P29" s="62" t="n">
        <f aca="false">AVERAGE(J25:J29)</f>
        <v>0.0014019999999999</v>
      </c>
      <c r="Q29" s="62" t="n">
        <f aca="false">AVERAGE(J20:J24)</f>
        <v>0.00149599999999999</v>
      </c>
      <c r="R29" s="63" t="n">
        <f aca="false">IF(Q29=0,0,P29/Q29)</f>
        <v>0.937165775401014</v>
      </c>
    </row>
    <row r="30" customFormat="false" ht="15" hidden="false" customHeight="true" outlineLevel="0" collapsed="false">
      <c r="A30" s="60" t="n">
        <v>29</v>
      </c>
      <c r="B30" s="60" t="s">
        <v>266</v>
      </c>
      <c r="C30" s="60" t="s">
        <v>254</v>
      </c>
      <c r="D30" s="60" t="s">
        <v>252</v>
      </c>
      <c r="E30" s="61" t="n">
        <v>1.07291</v>
      </c>
      <c r="F30" s="61" t="n">
        <v>1.07358</v>
      </c>
      <c r="G30" s="61" t="n">
        <v>1.07268</v>
      </c>
      <c r="H30" s="61" t="n">
        <v>1.07269</v>
      </c>
      <c r="I30" s="62" t="n">
        <f aca="false">ABS(H30-E30)</f>
        <v>0.000220000000000109</v>
      </c>
      <c r="J30" s="62" t="n">
        <f aca="false">F30-G30</f>
        <v>0.000899999999999901</v>
      </c>
      <c r="K30" s="63" t="n">
        <f aca="false">IF(J30=0,0,I30/J30)</f>
        <v>0.244444444444592</v>
      </c>
      <c r="L30" s="62" t="n">
        <f aca="false">MAX(F30-G30,ABS(F30-H29),ABS(G30-H29))</f>
        <v>0.000899999999999901</v>
      </c>
      <c r="M30" s="62" t="n">
        <f aca="false">AVERAGE(L17:L30)</f>
        <v>0.00155428571428565</v>
      </c>
      <c r="N30" s="62" t="n">
        <f aca="false">H30*0.0909090909090909+N29*(1-0.0909090909090909)</f>
        <v>1.07568650719775</v>
      </c>
      <c r="O30" s="62" t="n">
        <f aca="false">AVERAGE(I17:I30)</f>
        <v>0.000726428571428604</v>
      </c>
      <c r="P30" s="62" t="n">
        <f aca="false">AVERAGE(J26:J30)</f>
        <v>0.0010899999999999</v>
      </c>
      <c r="Q30" s="62" t="n">
        <f aca="false">AVERAGE(J21:J25)</f>
        <v>0.00185599999999999</v>
      </c>
      <c r="R30" s="63" t="n">
        <f aca="false">IF(Q30=0,0,P30/Q30)</f>
        <v>0.587284482758571</v>
      </c>
    </row>
    <row r="31" customFormat="false" ht="15" hidden="false" customHeight="true" outlineLevel="0" collapsed="false">
      <c r="A31" s="60" t="n">
        <v>30</v>
      </c>
      <c r="B31" s="60" t="s">
        <v>266</v>
      </c>
      <c r="C31" s="60" t="s">
        <v>255</v>
      </c>
      <c r="D31" s="60" t="s">
        <v>252</v>
      </c>
      <c r="E31" s="61" t="n">
        <v>1.07269</v>
      </c>
      <c r="F31" s="61" t="n">
        <v>1.07339</v>
      </c>
      <c r="G31" s="61" t="n">
        <v>1.07181</v>
      </c>
      <c r="H31" s="61" t="n">
        <v>1.0722</v>
      </c>
      <c r="I31" s="62" t="n">
        <f aca="false">ABS(H31-E31)</f>
        <v>0.000489999999999879</v>
      </c>
      <c r="J31" s="62" t="n">
        <f aca="false">F31-G31</f>
        <v>0.00158000000000014</v>
      </c>
      <c r="K31" s="63" t="n">
        <f aca="false">IF(J31=0,0,I31/J31)</f>
        <v>0.310126582278378</v>
      </c>
      <c r="L31" s="62" t="n">
        <f aca="false">MAX(F31-G31,ABS(F31-H30),ABS(G31-H30))</f>
        <v>0.00158000000000014</v>
      </c>
      <c r="M31" s="62" t="n">
        <f aca="false">AVERAGE(L18:L31)</f>
        <v>0.00150357142857138</v>
      </c>
      <c r="N31" s="62" t="n">
        <f aca="false">H31*0.0909090909090909+N30*(1-0.0909090909090909)</f>
        <v>1.07536955199795</v>
      </c>
      <c r="O31" s="62" t="n">
        <f aca="false">AVERAGE(I18:I31)</f>
        <v>0.000640000000000022</v>
      </c>
      <c r="P31" s="62" t="n">
        <f aca="false">AVERAGE(J27:J31)</f>
        <v>0.00113999999999996</v>
      </c>
      <c r="Q31" s="62" t="n">
        <f aca="false">AVERAGE(J22:J26)</f>
        <v>0.00172199999999996</v>
      </c>
      <c r="R31" s="63" t="n">
        <f aca="false">IF(Q31=0,0,P31/Q31)</f>
        <v>0.66202090592334</v>
      </c>
    </row>
    <row r="32" customFormat="false" ht="15" hidden="false" customHeight="true" outlineLevel="0" collapsed="false">
      <c r="A32" s="60" t="n">
        <v>31</v>
      </c>
      <c r="B32" s="60" t="s">
        <v>266</v>
      </c>
      <c r="C32" s="60" t="s">
        <v>256</v>
      </c>
      <c r="D32" s="60" t="s">
        <v>252</v>
      </c>
      <c r="E32" s="61" t="n">
        <v>1.0722</v>
      </c>
      <c r="F32" s="61" t="n">
        <v>1.0726</v>
      </c>
      <c r="G32" s="61" t="n">
        <v>1.07197</v>
      </c>
      <c r="H32" s="61" t="n">
        <v>1.07218</v>
      </c>
      <c r="I32" s="62" t="n">
        <f aca="false">ABS(H32-E32)</f>
        <v>2.0000000000131E-005</v>
      </c>
      <c r="J32" s="62" t="n">
        <f aca="false">F32-G32</f>
        <v>0.000629999999999908</v>
      </c>
      <c r="K32" s="63" t="n">
        <f aca="false">IF(J32=0,0,I32/J32)</f>
        <v>0.0317460317462443</v>
      </c>
      <c r="L32" s="62" t="n">
        <f aca="false">MAX(F32-G32,ABS(F32-H31),ABS(G32-H31))</f>
        <v>0.000629999999999908</v>
      </c>
      <c r="M32" s="62" t="n">
        <f aca="false">AVERAGE(L19:L32)</f>
        <v>0.00137928571428566</v>
      </c>
      <c r="N32" s="62" t="n">
        <f aca="false">H32*0.0909090909090909+N31*(1-0.0909090909090909)</f>
        <v>1.07507959272541</v>
      </c>
      <c r="O32" s="62" t="n">
        <f aca="false">AVERAGE(I19:I32)</f>
        <v>0.000590714285714317</v>
      </c>
      <c r="P32" s="62" t="n">
        <f aca="false">AVERAGE(J28:J32)</f>
        <v>0.00103199999999997</v>
      </c>
      <c r="Q32" s="62" t="n">
        <f aca="false">AVERAGE(J23:J27)</f>
        <v>0.00183999999999993</v>
      </c>
      <c r="R32" s="63" t="n">
        <f aca="false">IF(Q32=0,0,P32/Q32)</f>
        <v>0.560869565217394</v>
      </c>
    </row>
    <row r="33" customFormat="false" ht="15" hidden="false" customHeight="true" outlineLevel="0" collapsed="false">
      <c r="A33" s="60" t="n">
        <v>32</v>
      </c>
      <c r="B33" s="60" t="s">
        <v>266</v>
      </c>
      <c r="C33" s="60" t="s">
        <v>257</v>
      </c>
      <c r="D33" s="60" t="s">
        <v>258</v>
      </c>
      <c r="E33" s="61" t="n">
        <v>1.07218</v>
      </c>
      <c r="F33" s="61" t="n">
        <v>1.07334</v>
      </c>
      <c r="G33" s="61" t="n">
        <v>1.07183</v>
      </c>
      <c r="H33" s="61" t="n">
        <v>1.07333</v>
      </c>
      <c r="I33" s="62" t="n">
        <f aca="false">ABS(H33-E33)</f>
        <v>0.00114999999999998</v>
      </c>
      <c r="J33" s="62" t="n">
        <f aca="false">F33-G33</f>
        <v>0.0015099999999999</v>
      </c>
      <c r="K33" s="63" t="n">
        <f aca="false">IF(J33=0,0,I33/J33)</f>
        <v>0.76158940397355</v>
      </c>
      <c r="L33" s="62" t="n">
        <f aca="false">MAX(F33-G33,ABS(F33-H32),ABS(G33-H32))</f>
        <v>0.0015099999999999</v>
      </c>
      <c r="M33" s="62" t="n">
        <f aca="false">AVERAGE(L20:L33)</f>
        <v>0.00136499999999995</v>
      </c>
      <c r="N33" s="62" t="n">
        <f aca="false">H33*0.0909090909090909+N32*(1-0.0909090909090909)</f>
        <v>1.07492053884128</v>
      </c>
      <c r="O33" s="62" t="n">
        <f aca="false">AVERAGE(I20:I33)</f>
        <v>0.00057857142857146</v>
      </c>
      <c r="P33" s="62" t="n">
        <f aca="false">AVERAGE(J29:J33)</f>
        <v>0.00104599999999997</v>
      </c>
      <c r="Q33" s="62" t="n">
        <f aca="false">AVERAGE(J24:J28)</f>
        <v>0.0017739999999999</v>
      </c>
      <c r="R33" s="63" t="n">
        <f aca="false">IF(Q33=0,0,P33/Q33)</f>
        <v>0.589627959413771</v>
      </c>
    </row>
    <row r="34" customFormat="false" ht="15" hidden="false" customHeight="true" outlineLevel="0" collapsed="false">
      <c r="A34" s="60" t="n">
        <v>33</v>
      </c>
      <c r="B34" s="60" t="s">
        <v>266</v>
      </c>
      <c r="C34" s="60" t="s">
        <v>259</v>
      </c>
      <c r="D34" s="60" t="s">
        <v>258</v>
      </c>
      <c r="E34" s="61" t="n">
        <v>1.07333</v>
      </c>
      <c r="F34" s="61" t="n">
        <v>1.07354</v>
      </c>
      <c r="G34" s="61" t="n">
        <v>1.0709</v>
      </c>
      <c r="H34" s="61" t="n">
        <v>1.07191</v>
      </c>
      <c r="I34" s="62" t="n">
        <f aca="false">ABS(H34-E34)</f>
        <v>0.00141999999999998</v>
      </c>
      <c r="J34" s="62" t="n">
        <f aca="false">F34-G34</f>
        <v>0.00263999999999998</v>
      </c>
      <c r="K34" s="63" t="n">
        <f aca="false">IF(J34=0,0,I34/J34)</f>
        <v>0.537878787878784</v>
      </c>
      <c r="L34" s="62" t="n">
        <f aca="false">MAX(F34-G34,ABS(F34-H33),ABS(G34-H33))</f>
        <v>0.00263999999999998</v>
      </c>
      <c r="M34" s="62" t="n">
        <f aca="false">AVERAGE(L21:L34)</f>
        <v>0.00150642857142853</v>
      </c>
      <c r="N34" s="62" t="n">
        <f aca="false">H34*0.0909090909090909+N33*(1-0.0909090909090909)</f>
        <v>1.07464685349207</v>
      </c>
      <c r="O34" s="62" t="n">
        <f aca="false">AVERAGE(I21:I34)</f>
        <v>0.000665000000000027</v>
      </c>
      <c r="P34" s="62" t="n">
        <f aca="false">AVERAGE(J30:J34)</f>
        <v>0.00145199999999996</v>
      </c>
      <c r="Q34" s="62" t="n">
        <f aca="false">AVERAGE(J25:J29)</f>
        <v>0.0014019999999999</v>
      </c>
      <c r="R34" s="63" t="n">
        <f aca="false">IF(Q34=0,0,P34/Q34)</f>
        <v>1.03566333808849</v>
      </c>
    </row>
    <row r="35" customFormat="false" ht="15" hidden="false" customHeight="true" outlineLevel="0" collapsed="false">
      <c r="A35" s="60" t="n">
        <v>34</v>
      </c>
      <c r="B35" s="60" t="s">
        <v>266</v>
      </c>
      <c r="C35" s="60" t="s">
        <v>118</v>
      </c>
      <c r="D35" s="60" t="s">
        <v>260</v>
      </c>
      <c r="E35" s="61" t="n">
        <v>1.07191</v>
      </c>
      <c r="F35" s="61" t="n">
        <v>1.0721</v>
      </c>
      <c r="G35" s="61" t="n">
        <v>1.06914</v>
      </c>
      <c r="H35" s="61" t="n">
        <v>1.06968</v>
      </c>
      <c r="I35" s="62" t="n">
        <f aca="false">ABS(H35-E35)</f>
        <v>0.00222999999999995</v>
      </c>
      <c r="J35" s="62" t="n">
        <f aca="false">F35-G35</f>
        <v>0.00296000000000007</v>
      </c>
      <c r="K35" s="63" t="n">
        <f aca="false">IF(J35=0,0,I35/J35)</f>
        <v>0.753378378378344</v>
      </c>
      <c r="L35" s="62" t="n">
        <f aca="false">MAX(F35-G35,ABS(F35-H34),ABS(G35-H34))</f>
        <v>0.00296000000000007</v>
      </c>
      <c r="M35" s="62" t="n">
        <f aca="false">AVERAGE(L22:L35)</f>
        <v>0.00157499999999996</v>
      </c>
      <c r="N35" s="62" t="n">
        <f aca="false">H35*0.0909090909090909+N34*(1-0.0909090909090909)</f>
        <v>1.07419532135643</v>
      </c>
      <c r="O35" s="62" t="n">
        <f aca="false">AVERAGE(I22:I35)</f>
        <v>0.000771428571428582</v>
      </c>
      <c r="P35" s="62" t="n">
        <f aca="false">AVERAGE(J31:J35)</f>
        <v>0.001864</v>
      </c>
      <c r="Q35" s="62" t="n">
        <f aca="false">AVERAGE(J26:J30)</f>
        <v>0.0010899999999999</v>
      </c>
      <c r="R35" s="63" t="n">
        <f aca="false">IF(Q35=0,0,P35/Q35)</f>
        <v>1.71009174311942</v>
      </c>
    </row>
    <row r="36" customFormat="false" ht="15" hidden="false" customHeight="true" outlineLevel="0" collapsed="false">
      <c r="A36" s="60" t="n">
        <v>35</v>
      </c>
      <c r="B36" s="60" t="s">
        <v>266</v>
      </c>
      <c r="C36" s="60" t="s">
        <v>261</v>
      </c>
      <c r="D36" s="60" t="s">
        <v>260</v>
      </c>
      <c r="E36" s="61" t="n">
        <v>1.06968</v>
      </c>
      <c r="F36" s="61" t="n">
        <v>1.0712</v>
      </c>
      <c r="G36" s="61" t="n">
        <v>1.06918</v>
      </c>
      <c r="H36" s="61" t="n">
        <v>1.06986</v>
      </c>
      <c r="I36" s="62" t="n">
        <f aca="false">ABS(H36-E36)</f>
        <v>0.000180000000000069</v>
      </c>
      <c r="J36" s="62" t="n">
        <f aca="false">F36-G36</f>
        <v>0.00201999999999991</v>
      </c>
      <c r="K36" s="63" t="n">
        <f aca="false">IF(J36=0,0,I36/J36)</f>
        <v>0.0891089108911272</v>
      </c>
      <c r="L36" s="62" t="n">
        <f aca="false">MAX(F36-G36,ABS(F36-H35),ABS(G36-H35))</f>
        <v>0.00201999999999991</v>
      </c>
      <c r="M36" s="62" t="n">
        <f aca="false">AVERAGE(L23:L36)</f>
        <v>0.0016778571428571</v>
      </c>
      <c r="N36" s="62" t="n">
        <f aca="false">H36*0.0909090909090909+N35*(1-0.0909090909090909)</f>
        <v>1.07380120123312</v>
      </c>
      <c r="O36" s="62" t="n">
        <f aca="false">AVERAGE(I23:I36)</f>
        <v>0.000768571428571452</v>
      </c>
      <c r="P36" s="62" t="n">
        <f aca="false">AVERAGE(J32:J36)</f>
        <v>0.00195199999999995</v>
      </c>
      <c r="Q36" s="62" t="n">
        <f aca="false">AVERAGE(J27:J31)</f>
        <v>0.00113999999999996</v>
      </c>
      <c r="R36" s="63" t="n">
        <f aca="false">IF(Q36=0,0,P36/Q36)</f>
        <v>1.7122807017544</v>
      </c>
    </row>
    <row r="37" customFormat="false" ht="15" hidden="false" customHeight="true" outlineLevel="0" collapsed="false">
      <c r="A37" s="60" t="n">
        <v>36</v>
      </c>
      <c r="B37" s="60" t="s">
        <v>266</v>
      </c>
      <c r="C37" s="60" t="s">
        <v>262</v>
      </c>
      <c r="D37" s="60" t="s">
        <v>260</v>
      </c>
      <c r="E37" s="61" t="n">
        <v>1.06986</v>
      </c>
      <c r="F37" s="61" t="n">
        <v>1.06998</v>
      </c>
      <c r="G37" s="61" t="n">
        <v>1.06887</v>
      </c>
      <c r="H37" s="61" t="n">
        <v>1.06917</v>
      </c>
      <c r="I37" s="62" t="n">
        <f aca="false">ABS(H37-E37)</f>
        <v>0.000690000000000079</v>
      </c>
      <c r="J37" s="62" t="n">
        <f aca="false">F37-G37</f>
        <v>0.00110999999999994</v>
      </c>
      <c r="K37" s="63" t="n">
        <f aca="false">IF(J37=0,0,I37/J37)</f>
        <v>0.621621621621724</v>
      </c>
      <c r="L37" s="62" t="n">
        <f aca="false">MAX(F37-G37,ABS(F37-H36),ABS(G37-H36))</f>
        <v>0.00110999999999994</v>
      </c>
      <c r="M37" s="62" t="n">
        <f aca="false">AVERAGE(L24:L37)</f>
        <v>0.00163071428571423</v>
      </c>
      <c r="N37" s="62" t="n">
        <f aca="false">H37*0.0909090909090909+N36*(1-0.0909090909090909)</f>
        <v>1.0733801829392</v>
      </c>
      <c r="O37" s="62" t="n">
        <f aca="false">AVERAGE(I24:I37)</f>
        <v>0.000724285714285749</v>
      </c>
      <c r="P37" s="62" t="n">
        <f aca="false">AVERAGE(J33:J37)</f>
        <v>0.00204799999999996</v>
      </c>
      <c r="Q37" s="62" t="n">
        <f aca="false">AVERAGE(J28:J32)</f>
        <v>0.00103199999999997</v>
      </c>
      <c r="R37" s="63" t="n">
        <f aca="false">IF(Q37=0,0,P37/Q37)</f>
        <v>1.98449612403103</v>
      </c>
    </row>
    <row r="38" customFormat="false" ht="15" hidden="false" customHeight="true" outlineLevel="0" collapsed="false">
      <c r="A38" s="60" t="n">
        <v>37</v>
      </c>
      <c r="B38" s="60" t="s">
        <v>266</v>
      </c>
      <c r="C38" s="60" t="s">
        <v>263</v>
      </c>
      <c r="D38" s="60" t="s">
        <v>260</v>
      </c>
      <c r="E38" s="61" t="n">
        <v>1.06917</v>
      </c>
      <c r="F38" s="61" t="n">
        <v>1.06929</v>
      </c>
      <c r="G38" s="61" t="n">
        <v>1.06855</v>
      </c>
      <c r="H38" s="61" t="n">
        <v>1.06898</v>
      </c>
      <c r="I38" s="62" t="n">
        <f aca="false">ABS(H38-E38)</f>
        <v>0.000189999999999912</v>
      </c>
      <c r="J38" s="62" t="n">
        <f aca="false">F38-G38</f>
        <v>0.000739999999999963</v>
      </c>
      <c r="K38" s="63" t="n">
        <f aca="false">IF(J38=0,0,I38/J38)</f>
        <v>0.256756756756651</v>
      </c>
      <c r="L38" s="62" t="n">
        <f aca="false">MAX(F38-G38,ABS(F38-H37),ABS(G38-H37))</f>
        <v>0.000739999999999963</v>
      </c>
      <c r="M38" s="62" t="n">
        <f aca="false">AVERAGE(L25:L38)</f>
        <v>0.0015071428571428</v>
      </c>
      <c r="N38" s="62" t="n">
        <f aca="false">H38*0.0909090909090909+N37*(1-0.0909090909090909)</f>
        <v>1.07298016630836</v>
      </c>
      <c r="O38" s="62" t="n">
        <f aca="false">AVERAGE(I25:I38)</f>
        <v>0.000667142857142882</v>
      </c>
      <c r="P38" s="62" t="n">
        <f aca="false">AVERAGE(J34:J38)</f>
        <v>0.00189399999999997</v>
      </c>
      <c r="Q38" s="62" t="n">
        <f aca="false">AVERAGE(J29:J33)</f>
        <v>0.00104599999999997</v>
      </c>
      <c r="R38" s="63" t="n">
        <f aca="false">IF(Q38=0,0,P38/Q38)</f>
        <v>1.810707456979</v>
      </c>
    </row>
    <row r="39" customFormat="false" ht="15" hidden="false" customHeight="true" outlineLevel="0" collapsed="false">
      <c r="A39" s="60" t="n">
        <v>38</v>
      </c>
      <c r="B39" s="60" t="s">
        <v>266</v>
      </c>
      <c r="C39" s="60" t="s">
        <v>264</v>
      </c>
      <c r="D39" s="60" t="s">
        <v>260</v>
      </c>
      <c r="E39" s="61" t="n">
        <v>1.06898</v>
      </c>
      <c r="F39" s="61" t="n">
        <v>1.07017</v>
      </c>
      <c r="G39" s="61" t="n">
        <v>1.06893</v>
      </c>
      <c r="H39" s="61" t="n">
        <v>1.06955</v>
      </c>
      <c r="I39" s="62" t="n">
        <f aca="false">ABS(H39-E39)</f>
        <v>0.000569999999999959</v>
      </c>
      <c r="J39" s="62" t="n">
        <f aca="false">F39-G39</f>
        <v>0.00124000000000013</v>
      </c>
      <c r="K39" s="63" t="n">
        <f aca="false">IF(J39=0,0,I39/J39)</f>
        <v>0.459677419354758</v>
      </c>
      <c r="L39" s="62" t="n">
        <f aca="false">MAX(F39-G39,ABS(F39-H38),ABS(G39-H38))</f>
        <v>0.00124000000000013</v>
      </c>
      <c r="M39" s="62" t="n">
        <f aca="false">AVERAGE(L26:L39)</f>
        <v>0.00141999999999996</v>
      </c>
      <c r="N39" s="62" t="n">
        <f aca="false">H39*0.0909090909090909+N38*(1-0.0909090909090909)</f>
        <v>1.0726683330076</v>
      </c>
      <c r="O39" s="62" t="n">
        <f aca="false">AVERAGE(I26:I39)</f>
        <v>0.000645714285714297</v>
      </c>
      <c r="P39" s="62" t="n">
        <f aca="false">AVERAGE(J35:J39)</f>
        <v>0.001614</v>
      </c>
      <c r="Q39" s="62" t="n">
        <f aca="false">AVERAGE(J30:J34)</f>
        <v>0.00145199999999996</v>
      </c>
      <c r="R39" s="63" t="n">
        <f aca="false">IF(Q39=0,0,P39/Q39)</f>
        <v>1.11157024793391</v>
      </c>
    </row>
    <row r="40" customFormat="false" ht="15" hidden="false" customHeight="true" outlineLevel="0" collapsed="false">
      <c r="A40" s="60" t="n">
        <v>39</v>
      </c>
      <c r="B40" s="60" t="s">
        <v>266</v>
      </c>
      <c r="C40" s="60" t="s">
        <v>265</v>
      </c>
      <c r="D40" s="60" t="s">
        <v>258</v>
      </c>
      <c r="E40" s="61" t="n">
        <v>1.06955</v>
      </c>
      <c r="F40" s="61" t="n">
        <v>1.07022</v>
      </c>
      <c r="G40" s="61" t="n">
        <v>1.06939</v>
      </c>
      <c r="H40" s="61" t="n">
        <v>1.06959</v>
      </c>
      <c r="I40" s="62" t="n">
        <f aca="false">ABS(H40-E40)</f>
        <v>4.000000000004E-005</v>
      </c>
      <c r="J40" s="62" t="n">
        <f aca="false">F40-G40</f>
        <v>0.000829999999999886</v>
      </c>
      <c r="K40" s="63" t="n">
        <f aca="false">IF(J40=0,0,I40/J40)</f>
        <v>0.0481927710843921</v>
      </c>
      <c r="L40" s="62" t="n">
        <f aca="false">MAX(F40-G40,ABS(F40-H39),ABS(G40-H39))</f>
        <v>0.000829999999999886</v>
      </c>
      <c r="M40" s="62" t="n">
        <f aca="false">AVERAGE(L27:L40)</f>
        <v>0.00138428571428568</v>
      </c>
      <c r="N40" s="62" t="n">
        <f aca="false">H40*0.0909090909090909+N39*(1-0.0909090909090909)</f>
        <v>1.07238848455237</v>
      </c>
      <c r="O40" s="62" t="n">
        <f aca="false">AVERAGE(I27:I40)</f>
        <v>0.000612142857142871</v>
      </c>
      <c r="P40" s="62" t="n">
        <f aca="false">AVERAGE(J36:J40)</f>
        <v>0.00118799999999997</v>
      </c>
      <c r="Q40" s="62" t="n">
        <f aca="false">AVERAGE(J31:J35)</f>
        <v>0.001864</v>
      </c>
      <c r="R40" s="63" t="n">
        <f aca="false">IF(Q40=0,0,P40/Q40)</f>
        <v>0.637339055793974</v>
      </c>
    </row>
    <row r="41" customFormat="false" ht="15" hidden="false" customHeight="true" outlineLevel="0" collapsed="false">
      <c r="A41" s="60" t="n">
        <v>40</v>
      </c>
      <c r="B41" s="60" t="s">
        <v>205</v>
      </c>
      <c r="C41" s="60" t="s">
        <v>251</v>
      </c>
      <c r="D41" s="60" t="s">
        <v>252</v>
      </c>
      <c r="E41" s="61" t="n">
        <v>1.06959</v>
      </c>
      <c r="F41" s="61" t="n">
        <v>1.07017</v>
      </c>
      <c r="G41" s="61" t="n">
        <v>1.06853</v>
      </c>
      <c r="H41" s="61" t="n">
        <v>1.06864</v>
      </c>
      <c r="I41" s="62" t="n">
        <f aca="false">ABS(H41-E41)</f>
        <v>0.000950000000000006</v>
      </c>
      <c r="J41" s="62" t="n">
        <f aca="false">F41-G41</f>
        <v>0.00164000000000009</v>
      </c>
      <c r="K41" s="63" t="n">
        <f aca="false">IF(J41=0,0,I41/J41)</f>
        <v>0.5792682926829</v>
      </c>
      <c r="L41" s="62" t="n">
        <f aca="false">MAX(F41-G41,ABS(F41-H40),ABS(G41-H40))</f>
        <v>0.00164000000000009</v>
      </c>
      <c r="M41" s="62" t="n">
        <f aca="false">AVERAGE(L28:L41)</f>
        <v>0.00141785714285712</v>
      </c>
      <c r="N41" s="62" t="n">
        <f aca="false">H41*0.0909090909090909+N40*(1-0.0909090909090909)</f>
        <v>1.07204771322942</v>
      </c>
      <c r="O41" s="62" t="n">
        <f aca="false">AVERAGE(I28:I41)</f>
        <v>0.000625714285714293</v>
      </c>
      <c r="P41" s="62" t="n">
        <f aca="false">AVERAGE(J37:J41)</f>
        <v>0.001112</v>
      </c>
      <c r="Q41" s="62" t="n">
        <f aca="false">AVERAGE(J32:J36)</f>
        <v>0.00195199999999995</v>
      </c>
      <c r="R41" s="63" t="n">
        <f aca="false">IF(Q41=0,0,P41/Q41)</f>
        <v>0.569672131147555</v>
      </c>
    </row>
    <row r="42" customFormat="false" ht="15" hidden="false" customHeight="true" outlineLevel="0" collapsed="false">
      <c r="A42" s="60" t="n">
        <v>41</v>
      </c>
      <c r="B42" s="60" t="s">
        <v>205</v>
      </c>
      <c r="C42" s="60" t="s">
        <v>253</v>
      </c>
      <c r="D42" s="60" t="s">
        <v>252</v>
      </c>
      <c r="E42" s="61" t="n">
        <v>1.06864</v>
      </c>
      <c r="F42" s="61" t="n">
        <v>1.0691</v>
      </c>
      <c r="G42" s="61" t="n">
        <v>1.06857</v>
      </c>
      <c r="H42" s="61" t="n">
        <v>1.06874</v>
      </c>
      <c r="I42" s="62" t="n">
        <f aca="false">ABS(H42-E42)</f>
        <v>9.9999999999989E-005</v>
      </c>
      <c r="J42" s="62" t="n">
        <f aca="false">F42-G42</f>
        <v>0.000529999999999919</v>
      </c>
      <c r="K42" s="63" t="n">
        <f aca="false">IF(J42=0,0,I42/J42)</f>
        <v>0.188679245283027</v>
      </c>
      <c r="L42" s="62" t="n">
        <f aca="false">MAX(F42-G42,ABS(F42-H41),ABS(G42-H41))</f>
        <v>0.000529999999999919</v>
      </c>
      <c r="M42" s="62" t="n">
        <f aca="false">AVERAGE(L29:L42)</f>
        <v>0.00135285714285712</v>
      </c>
      <c r="N42" s="62" t="n">
        <f aca="false">H42*0.0909090909090909+N41*(1-0.0909090909090909)</f>
        <v>1.07174701202675</v>
      </c>
      <c r="O42" s="62" t="n">
        <f aca="false">AVERAGE(I29:I42)</f>
        <v>0.000612857142857145</v>
      </c>
      <c r="P42" s="62" t="n">
        <f aca="false">AVERAGE(J38:J42)</f>
        <v>0.000995999999999997</v>
      </c>
      <c r="Q42" s="62" t="n">
        <f aca="false">AVERAGE(J33:J37)</f>
        <v>0.00204799999999996</v>
      </c>
      <c r="R42" s="63" t="n">
        <f aca="false">IF(Q42=0,0,P42/Q42)</f>
        <v>0.486328125000008</v>
      </c>
    </row>
    <row r="43" customFormat="false" ht="15" hidden="false" customHeight="true" outlineLevel="0" collapsed="false">
      <c r="A43" s="60" t="n">
        <v>42</v>
      </c>
      <c r="B43" s="60" t="s">
        <v>205</v>
      </c>
      <c r="C43" s="60" t="s">
        <v>254</v>
      </c>
      <c r="D43" s="60" t="s">
        <v>252</v>
      </c>
      <c r="E43" s="61" t="n">
        <v>1.06874</v>
      </c>
      <c r="F43" s="61" t="n">
        <v>1.06942</v>
      </c>
      <c r="G43" s="61" t="n">
        <v>1.06633</v>
      </c>
      <c r="H43" s="61" t="n">
        <v>1.06654</v>
      </c>
      <c r="I43" s="62" t="n">
        <f aca="false">ABS(H43-E43)</f>
        <v>0.00219999999999998</v>
      </c>
      <c r="J43" s="62" t="n">
        <f aca="false">F43-G43</f>
        <v>0.00309000000000004</v>
      </c>
      <c r="K43" s="63" t="n">
        <f aca="false">IF(J43=0,0,I43/J43)</f>
        <v>0.711974110032347</v>
      </c>
      <c r="L43" s="62" t="n">
        <f aca="false">MAX(F43-G43,ABS(F43-H42),ABS(G43-H42))</f>
        <v>0.00309000000000004</v>
      </c>
      <c r="M43" s="62" t="n">
        <f aca="false">AVERAGE(L30:L43)</f>
        <v>0.00152999999999998</v>
      </c>
      <c r="N43" s="62" t="n">
        <f aca="false">H43*0.0909090909090909+N42*(1-0.0909090909090909)</f>
        <v>1.07127364729704</v>
      </c>
      <c r="O43" s="62" t="n">
        <f aca="false">AVERAGE(I30:I43)</f>
        <v>0.000746428571428577</v>
      </c>
      <c r="P43" s="62" t="n">
        <f aca="false">AVERAGE(J39:J43)</f>
        <v>0.00146600000000001</v>
      </c>
      <c r="Q43" s="62" t="n">
        <f aca="false">AVERAGE(J34:J38)</f>
        <v>0.00189399999999997</v>
      </c>
      <c r="R43" s="63" t="n">
        <f aca="false">IF(Q43=0,0,P43/Q43)</f>
        <v>0.774023231256617</v>
      </c>
    </row>
    <row r="44" customFormat="false" ht="15" hidden="false" customHeight="true" outlineLevel="0" collapsed="false">
      <c r="A44" s="60" t="n">
        <v>43</v>
      </c>
      <c r="B44" s="60" t="s">
        <v>205</v>
      </c>
      <c r="C44" s="60" t="s">
        <v>255</v>
      </c>
      <c r="D44" s="60" t="s">
        <v>252</v>
      </c>
      <c r="E44" s="61" t="n">
        <v>1.06654</v>
      </c>
      <c r="F44" s="61" t="n">
        <v>1.06705</v>
      </c>
      <c r="G44" s="61" t="n">
        <v>1.06315</v>
      </c>
      <c r="H44" s="61" t="n">
        <v>1.0642</v>
      </c>
      <c r="I44" s="62" t="n">
        <f aca="false">ABS(H44-E44)</f>
        <v>0.00234000000000001</v>
      </c>
      <c r="J44" s="62" t="n">
        <f aca="false">F44-G44</f>
        <v>0.00390000000000001</v>
      </c>
      <c r="K44" s="63" t="n">
        <f aca="false">IF(J44=0,0,I44/J44)</f>
        <v>0.6</v>
      </c>
      <c r="L44" s="62" t="n">
        <f aca="false">MAX(F44-G44,ABS(F44-H43),ABS(G44-H43))</f>
        <v>0.00390000000000001</v>
      </c>
      <c r="M44" s="62" t="n">
        <f aca="false">AVERAGE(L31:L44)</f>
        <v>0.00174428571428571</v>
      </c>
      <c r="N44" s="62" t="n">
        <f aca="false">H44*0.0909090909090909+N43*(1-0.0909090909090909)</f>
        <v>1.07063058845186</v>
      </c>
      <c r="O44" s="62" t="n">
        <f aca="false">AVERAGE(I31:I44)</f>
        <v>0.000897857142857141</v>
      </c>
      <c r="P44" s="62" t="n">
        <f aca="false">AVERAGE(J40:J44)</f>
        <v>0.00199799999999999</v>
      </c>
      <c r="Q44" s="62" t="n">
        <f aca="false">AVERAGE(J35:J39)</f>
        <v>0.001614</v>
      </c>
      <c r="R44" s="63" t="n">
        <f aca="false">IF(Q44=0,0,P44/Q44)</f>
        <v>1.23791821561337</v>
      </c>
    </row>
    <row r="45" customFormat="false" ht="15" hidden="false" customHeight="true" outlineLevel="0" collapsed="false">
      <c r="A45" s="60" t="n">
        <v>44</v>
      </c>
      <c r="B45" s="60" t="s">
        <v>205</v>
      </c>
      <c r="C45" s="60" t="s">
        <v>256</v>
      </c>
      <c r="D45" s="60" t="s">
        <v>252</v>
      </c>
      <c r="E45" s="61" t="n">
        <v>1.0642</v>
      </c>
      <c r="F45" s="61" t="n">
        <v>1.06554</v>
      </c>
      <c r="G45" s="61" t="n">
        <v>1.06373</v>
      </c>
      <c r="H45" s="61" t="n">
        <v>1.06503</v>
      </c>
      <c r="I45" s="62" t="n">
        <f aca="false">ABS(H45-E45)</f>
        <v>0.000829999999999886</v>
      </c>
      <c r="J45" s="62" t="n">
        <f aca="false">F45-G45</f>
        <v>0.00180999999999987</v>
      </c>
      <c r="K45" s="63" t="n">
        <f aca="false">IF(J45=0,0,I45/J45)</f>
        <v>0.458563535911573</v>
      </c>
      <c r="L45" s="62" t="n">
        <f aca="false">MAX(F45-G45,ABS(F45-H44),ABS(G45-H44))</f>
        <v>0.00180999999999987</v>
      </c>
      <c r="M45" s="62" t="n">
        <f aca="false">AVERAGE(L32:L45)</f>
        <v>0.00176071428571426</v>
      </c>
      <c r="N45" s="62" t="n">
        <f aca="false">H45*0.0909090909090909+N44*(1-0.0909090909090909)</f>
        <v>1.07012144404714</v>
      </c>
      <c r="O45" s="62" t="n">
        <f aca="false">AVERAGE(I32:I45)</f>
        <v>0.000922142857142856</v>
      </c>
      <c r="P45" s="62" t="n">
        <f aca="false">AVERAGE(J41:J45)</f>
        <v>0.00219399999999999</v>
      </c>
      <c r="Q45" s="62" t="n">
        <f aca="false">AVERAGE(J36:J40)</f>
        <v>0.00118799999999997</v>
      </c>
      <c r="R45" s="63" t="n">
        <f aca="false">IF(Q45=0,0,P45/Q45)</f>
        <v>1.84680134680139</v>
      </c>
    </row>
    <row r="46" customFormat="false" ht="15" hidden="false" customHeight="true" outlineLevel="0" collapsed="false">
      <c r="A46" s="60" t="n">
        <v>45</v>
      </c>
      <c r="B46" s="60" t="s">
        <v>205</v>
      </c>
      <c r="C46" s="60" t="s">
        <v>257</v>
      </c>
      <c r="D46" s="60" t="s">
        <v>258</v>
      </c>
      <c r="E46" s="61" t="n">
        <v>1.06503</v>
      </c>
      <c r="F46" s="61" t="n">
        <v>1.0661</v>
      </c>
      <c r="G46" s="61" t="n">
        <v>1.06428</v>
      </c>
      <c r="H46" s="61" t="n">
        <v>1.06518</v>
      </c>
      <c r="I46" s="62" t="n">
        <f aca="false">ABS(H46-E46)</f>
        <v>0.000150000000000095</v>
      </c>
      <c r="J46" s="62" t="n">
        <f aca="false">F46-G46</f>
        <v>0.00182000000000015</v>
      </c>
      <c r="K46" s="63" t="n">
        <f aca="false">IF(J46=0,0,I46/J46)</f>
        <v>0.0824175824176273</v>
      </c>
      <c r="L46" s="62" t="n">
        <f aca="false">MAX(F46-G46,ABS(F46-H45),ABS(G46-H45))</f>
        <v>0.00182000000000015</v>
      </c>
      <c r="M46" s="62" t="n">
        <f aca="false">AVERAGE(L33:L46)</f>
        <v>0.00184571428571428</v>
      </c>
      <c r="N46" s="62" t="n">
        <f aca="false">H46*0.0909090909090909+N45*(1-0.0909090909090909)</f>
        <v>1.06967222186104</v>
      </c>
      <c r="O46" s="62" t="n">
        <f aca="false">AVERAGE(I33:I46)</f>
        <v>0.000931428571428567</v>
      </c>
      <c r="P46" s="62" t="n">
        <f aca="false">AVERAGE(J42:J46)</f>
        <v>0.00223</v>
      </c>
      <c r="Q46" s="62" t="n">
        <f aca="false">AVERAGE(J37:J41)</f>
        <v>0.001112</v>
      </c>
      <c r="R46" s="63" t="n">
        <f aca="false">IF(Q46=0,0,P46/Q46)</f>
        <v>2.00539568345323</v>
      </c>
    </row>
    <row r="47" customFormat="false" ht="15" hidden="false" customHeight="true" outlineLevel="0" collapsed="false">
      <c r="A47" s="60" t="n">
        <v>46</v>
      </c>
      <c r="B47" s="60" t="s">
        <v>205</v>
      </c>
      <c r="C47" s="60" t="s">
        <v>259</v>
      </c>
      <c r="D47" s="60" t="s">
        <v>258</v>
      </c>
      <c r="E47" s="61" t="n">
        <v>1.06518</v>
      </c>
      <c r="F47" s="61" t="n">
        <v>1.0668</v>
      </c>
      <c r="G47" s="61" t="n">
        <v>1.06501</v>
      </c>
      <c r="H47" s="61" t="n">
        <v>1.06676</v>
      </c>
      <c r="I47" s="62" t="n">
        <f aca="false">ABS(H47-E47)</f>
        <v>0.00157999999999991</v>
      </c>
      <c r="J47" s="62" t="n">
        <f aca="false">F47-G47</f>
        <v>0.00178999999999996</v>
      </c>
      <c r="K47" s="63" t="n">
        <f aca="false">IF(J47=0,0,I47/J47)</f>
        <v>0.882681564245783</v>
      </c>
      <c r="L47" s="62" t="n">
        <f aca="false">MAX(F47-G47,ABS(F47-H46),ABS(G47-H46))</f>
        <v>0.00178999999999996</v>
      </c>
      <c r="M47" s="62" t="n">
        <f aca="false">AVERAGE(L34:L47)</f>
        <v>0.00186571428571428</v>
      </c>
      <c r="N47" s="62" t="n">
        <f aca="false">H47*0.0909090909090909+N46*(1-0.0909090909090909)</f>
        <v>1.06940747441913</v>
      </c>
      <c r="O47" s="62" t="n">
        <f aca="false">AVERAGE(I34:I47)</f>
        <v>0.000962142857142848</v>
      </c>
      <c r="P47" s="62" t="n">
        <f aca="false">AVERAGE(J43:J47)</f>
        <v>0.00248200000000001</v>
      </c>
      <c r="Q47" s="62" t="n">
        <f aca="false">AVERAGE(J38:J42)</f>
        <v>0.000995999999999997</v>
      </c>
      <c r="R47" s="63" t="n">
        <f aca="false">IF(Q47=0,0,P47/Q47)</f>
        <v>2.49196787148596</v>
      </c>
    </row>
    <row r="48" customFormat="false" ht="15" hidden="false" customHeight="true" outlineLevel="0" collapsed="false">
      <c r="A48" s="60" t="n">
        <v>47</v>
      </c>
      <c r="B48" s="60" t="s">
        <v>205</v>
      </c>
      <c r="C48" s="60" t="s">
        <v>118</v>
      </c>
      <c r="D48" s="60" t="s">
        <v>260</v>
      </c>
      <c r="E48" s="61" t="n">
        <v>1.06676</v>
      </c>
      <c r="F48" s="61" t="n">
        <v>1.06735</v>
      </c>
      <c r="G48" s="61" t="n">
        <v>1.06593</v>
      </c>
      <c r="H48" s="61" t="n">
        <v>1.06659</v>
      </c>
      <c r="I48" s="62" t="n">
        <f aca="false">ABS(H48-E48)</f>
        <v>0.000170000000000003</v>
      </c>
      <c r="J48" s="62" t="n">
        <f aca="false">F48-G48</f>
        <v>0.00141999999999998</v>
      </c>
      <c r="K48" s="63" t="n">
        <f aca="false">IF(J48=0,0,I48/J48)</f>
        <v>0.119718309859159</v>
      </c>
      <c r="L48" s="62" t="n">
        <f aca="false">MAX(F48-G48,ABS(F48-H47),ABS(G48-H47))</f>
        <v>0.00141999999999998</v>
      </c>
      <c r="M48" s="62" t="n">
        <f aca="false">AVERAGE(L35:L48)</f>
        <v>0.00177857142857142</v>
      </c>
      <c r="N48" s="62" t="n">
        <f aca="false">H48*0.0909090909090909+N47*(1-0.0909090909090909)</f>
        <v>1.06915134038102</v>
      </c>
      <c r="O48" s="62" t="n">
        <f aca="false">AVERAGE(I35:I48)</f>
        <v>0.000872857142857136</v>
      </c>
      <c r="P48" s="62" t="n">
        <f aca="false">AVERAGE(J44:J48)</f>
        <v>0.00214799999999999</v>
      </c>
      <c r="Q48" s="62" t="n">
        <f aca="false">AVERAGE(J39:J43)</f>
        <v>0.00146600000000001</v>
      </c>
      <c r="R48" s="63" t="n">
        <f aca="false">IF(Q48=0,0,P48/Q48)</f>
        <v>1.46521145975442</v>
      </c>
    </row>
    <row r="49" customFormat="false" ht="15" hidden="false" customHeight="true" outlineLevel="0" collapsed="false">
      <c r="A49" s="60" t="n">
        <v>48</v>
      </c>
      <c r="B49" s="60" t="s">
        <v>205</v>
      </c>
      <c r="C49" s="60" t="s">
        <v>261</v>
      </c>
      <c r="D49" s="60" t="s">
        <v>260</v>
      </c>
      <c r="E49" s="61" t="n">
        <v>1.06659</v>
      </c>
      <c r="F49" s="61" t="n">
        <v>1.06662</v>
      </c>
      <c r="G49" s="61" t="n">
        <v>1.06551</v>
      </c>
      <c r="H49" s="61" t="n">
        <v>1.06599</v>
      </c>
      <c r="I49" s="62" t="n">
        <f aca="false">ABS(H49-E49)</f>
        <v>0.000599999999999934</v>
      </c>
      <c r="J49" s="62" t="n">
        <f aca="false">F49-G49</f>
        <v>0.00110999999999994</v>
      </c>
      <c r="K49" s="63" t="n">
        <f aca="false">IF(J49=0,0,I49/J49)</f>
        <v>0.540540540540508</v>
      </c>
      <c r="L49" s="62" t="n">
        <f aca="false">MAX(F49-G49,ABS(F49-H48),ABS(G49-H48))</f>
        <v>0.00110999999999994</v>
      </c>
      <c r="M49" s="62" t="n">
        <f aca="false">AVERAGE(L36:L49)</f>
        <v>0.00164642857142856</v>
      </c>
      <c r="N49" s="62" t="n">
        <f aca="false">H49*0.0909090909090909+N48*(1-0.0909090909090909)</f>
        <v>1.06886394580093</v>
      </c>
      <c r="O49" s="62" t="n">
        <f aca="false">AVERAGE(I36:I49)</f>
        <v>0.000756428571428563</v>
      </c>
      <c r="P49" s="62" t="n">
        <f aca="false">AVERAGE(J45:J49)</f>
        <v>0.00158999999999998</v>
      </c>
      <c r="Q49" s="62" t="n">
        <f aca="false">AVERAGE(J40:J44)</f>
        <v>0.00199799999999999</v>
      </c>
      <c r="R49" s="63" t="n">
        <f aca="false">IF(Q49=0,0,P49/Q49)</f>
        <v>0.795795795795791</v>
      </c>
    </row>
    <row r="50" customFormat="false" ht="15" hidden="false" customHeight="true" outlineLevel="0" collapsed="false">
      <c r="A50" s="60" t="n">
        <v>49</v>
      </c>
      <c r="B50" s="60" t="s">
        <v>205</v>
      </c>
      <c r="C50" s="60" t="s">
        <v>262</v>
      </c>
      <c r="D50" s="60" t="s">
        <v>260</v>
      </c>
      <c r="E50" s="61" t="n">
        <v>1.06599</v>
      </c>
      <c r="F50" s="61" t="n">
        <v>1.06676</v>
      </c>
      <c r="G50" s="61" t="n">
        <v>1.06455</v>
      </c>
      <c r="H50" s="61" t="n">
        <v>1.0653</v>
      </c>
      <c r="I50" s="62" t="n">
        <f aca="false">ABS(H50-E50)</f>
        <v>0.000690000000000079</v>
      </c>
      <c r="J50" s="62" t="n">
        <f aca="false">F50-G50</f>
        <v>0.00220999999999982</v>
      </c>
      <c r="K50" s="63" t="n">
        <f aca="false">IF(J50=0,0,I50/J50)</f>
        <v>0.312217194570197</v>
      </c>
      <c r="L50" s="62" t="n">
        <f aca="false">MAX(F50-G50,ABS(F50-H49),ABS(G50-H49))</f>
        <v>0.00220999999999982</v>
      </c>
      <c r="M50" s="62" t="n">
        <f aca="false">AVERAGE(L37:L50)</f>
        <v>0.00165999999999998</v>
      </c>
      <c r="N50" s="62" t="n">
        <f aca="false">H50*0.0909090909090909+N49*(1-0.0909090909090909)</f>
        <v>1.06853995072812</v>
      </c>
      <c r="O50" s="62" t="n">
        <f aca="false">AVERAGE(I37:I50)</f>
        <v>0.000792857142857135</v>
      </c>
      <c r="P50" s="62" t="n">
        <f aca="false">AVERAGE(J46:J50)</f>
        <v>0.00166999999999997</v>
      </c>
      <c r="Q50" s="62" t="n">
        <f aca="false">AVERAGE(J41:J45)</f>
        <v>0.00219399999999999</v>
      </c>
      <c r="R50" s="63" t="n">
        <f aca="false">IF(Q50=0,0,P50/Q50)</f>
        <v>0.761166818596164</v>
      </c>
    </row>
    <row r="51" customFormat="false" ht="15" hidden="false" customHeight="true" outlineLevel="0" collapsed="false">
      <c r="A51" s="60" t="n">
        <v>50</v>
      </c>
      <c r="B51" s="60" t="s">
        <v>205</v>
      </c>
      <c r="C51" s="60" t="s">
        <v>263</v>
      </c>
      <c r="D51" s="60" t="s">
        <v>260</v>
      </c>
      <c r="E51" s="61" t="n">
        <v>1.0653</v>
      </c>
      <c r="F51" s="61" t="n">
        <v>1.06588</v>
      </c>
      <c r="G51" s="61" t="n">
        <v>1.06512</v>
      </c>
      <c r="H51" s="61" t="n">
        <v>1.06513</v>
      </c>
      <c r="I51" s="62" t="n">
        <f aca="false">ABS(H51-E51)</f>
        <v>0.000170000000000003</v>
      </c>
      <c r="J51" s="62" t="n">
        <f aca="false">F51-G51</f>
        <v>0.000759999999999872</v>
      </c>
      <c r="K51" s="63" t="n">
        <f aca="false">IF(J51=0,0,I51/J51)</f>
        <v>0.223684210526358</v>
      </c>
      <c r="L51" s="62" t="n">
        <f aca="false">MAX(F51-G51,ABS(F51-H50),ABS(G51-H50))</f>
        <v>0.000759999999999872</v>
      </c>
      <c r="M51" s="62" t="n">
        <f aca="false">AVERAGE(L38:L51)</f>
        <v>0.00163499999999997</v>
      </c>
      <c r="N51" s="62" t="n">
        <f aca="false">H51*0.0909090909090909+N50*(1-0.0909090909090909)</f>
        <v>1.06822995520738</v>
      </c>
      <c r="O51" s="62" t="n">
        <f aca="false">AVERAGE(I38:I51)</f>
        <v>0.000755714285714272</v>
      </c>
      <c r="P51" s="62" t="n">
        <f aca="false">AVERAGE(J47:J51)</f>
        <v>0.00145799999999991</v>
      </c>
      <c r="Q51" s="62" t="n">
        <f aca="false">AVERAGE(J42:J46)</f>
        <v>0.00223</v>
      </c>
      <c r="R51" s="63" t="n">
        <f aca="false">IF(Q51=0,0,P51/Q51)</f>
        <v>0.653811659192787</v>
      </c>
    </row>
    <row r="52" customFormat="false" ht="15" hidden="false" customHeight="true" outlineLevel="0" collapsed="false">
      <c r="A52" s="60" t="n">
        <v>51</v>
      </c>
      <c r="B52" s="60" t="s">
        <v>205</v>
      </c>
      <c r="C52" s="60" t="s">
        <v>264</v>
      </c>
      <c r="D52" s="60" t="s">
        <v>260</v>
      </c>
      <c r="E52" s="61" t="n">
        <v>1.06513</v>
      </c>
      <c r="F52" s="61" t="n">
        <v>1.06533</v>
      </c>
      <c r="G52" s="61" t="n">
        <v>1.06403</v>
      </c>
      <c r="H52" s="61" t="n">
        <v>1.06437</v>
      </c>
      <c r="I52" s="62" t="n">
        <f aca="false">ABS(H52-E52)</f>
        <v>0.000759999999999872</v>
      </c>
      <c r="J52" s="62" t="n">
        <f aca="false">F52-G52</f>
        <v>0.00130000000000008</v>
      </c>
      <c r="K52" s="63" t="n">
        <f aca="false">IF(J52=0,0,I52/J52)</f>
        <v>0.584615384615251</v>
      </c>
      <c r="L52" s="62" t="n">
        <f aca="false">MAX(F52-G52,ABS(F52-H51),ABS(G52-H51))</f>
        <v>0.00130000000000008</v>
      </c>
      <c r="M52" s="62" t="n">
        <f aca="false">AVERAGE(L39:L52)</f>
        <v>0.00167499999999998</v>
      </c>
      <c r="N52" s="62" t="n">
        <f aca="false">H52*0.0909090909090909+N51*(1-0.0909090909090909)</f>
        <v>1.06787905018853</v>
      </c>
      <c r="O52" s="62" t="n">
        <f aca="false">AVERAGE(I39:I52)</f>
        <v>0.000796428571428555</v>
      </c>
      <c r="P52" s="62" t="n">
        <f aca="false">AVERAGE(J48:J52)</f>
        <v>0.00135999999999994</v>
      </c>
      <c r="Q52" s="62" t="n">
        <f aca="false">AVERAGE(J43:J47)</f>
        <v>0.00248200000000001</v>
      </c>
      <c r="R52" s="63" t="n">
        <f aca="false">IF(Q52=0,0,P52/Q52)</f>
        <v>0.547945205479426</v>
      </c>
    </row>
    <row r="53" customFormat="false" ht="15" hidden="false" customHeight="true" outlineLevel="0" collapsed="false">
      <c r="A53" s="60" t="n">
        <v>52</v>
      </c>
      <c r="B53" s="60" t="s">
        <v>205</v>
      </c>
      <c r="C53" s="60" t="s">
        <v>265</v>
      </c>
      <c r="D53" s="60" t="s">
        <v>258</v>
      </c>
      <c r="E53" s="61" t="n">
        <v>1.06437</v>
      </c>
      <c r="F53" s="61" t="n">
        <v>1.0646</v>
      </c>
      <c r="G53" s="61" t="n">
        <v>1.06419</v>
      </c>
      <c r="H53" s="61" t="n">
        <v>1.06438</v>
      </c>
      <c r="I53" s="62" t="n">
        <f aca="false">ABS(H53-E53)</f>
        <v>1.00000000000655E-005</v>
      </c>
      <c r="J53" s="62" t="n">
        <f aca="false">F53-G53</f>
        <v>0.000410000000000021</v>
      </c>
      <c r="K53" s="63" t="n">
        <f aca="false">IF(J53=0,0,I53/J53)</f>
        <v>0.0243902439025975</v>
      </c>
      <c r="L53" s="62" t="n">
        <f aca="false">MAX(F53-G53,ABS(F53-H52),ABS(G53-H52))</f>
        <v>0.000410000000000021</v>
      </c>
      <c r="M53" s="62" t="n">
        <f aca="false">AVERAGE(L40:L53)</f>
        <v>0.00161571428571426</v>
      </c>
      <c r="N53" s="62" t="n">
        <f aca="false">H53*0.0909090909090909+N52*(1-0.0909090909090909)</f>
        <v>1.06756095471684</v>
      </c>
      <c r="O53" s="62" t="n">
        <f aca="false">AVERAGE(I40:I53)</f>
        <v>0.000756428571428563</v>
      </c>
      <c r="P53" s="62" t="n">
        <f aca="false">AVERAGE(J49:J53)</f>
        <v>0.00115799999999995</v>
      </c>
      <c r="Q53" s="62" t="n">
        <f aca="false">AVERAGE(J44:J48)</f>
        <v>0.00214799999999999</v>
      </c>
      <c r="R53" s="63" t="n">
        <f aca="false">IF(Q53=0,0,P53/Q53)</f>
        <v>0.539106145251374</v>
      </c>
    </row>
    <row r="54" customFormat="false" ht="15" hidden="false" customHeight="true" outlineLevel="0" collapsed="false">
      <c r="A54" s="60" t="n">
        <v>53</v>
      </c>
      <c r="B54" s="60" t="s">
        <v>206</v>
      </c>
      <c r="C54" s="60" t="s">
        <v>251</v>
      </c>
      <c r="D54" s="60" t="s">
        <v>252</v>
      </c>
      <c r="E54" s="61" t="n">
        <v>1.06438</v>
      </c>
      <c r="F54" s="61" t="n">
        <v>1.06486</v>
      </c>
      <c r="G54" s="61" t="n">
        <v>1.06187</v>
      </c>
      <c r="H54" s="61" t="n">
        <v>1.06286</v>
      </c>
      <c r="I54" s="62" t="n">
        <f aca="false">ABS(H54-E54)</f>
        <v>0.00152000000000019</v>
      </c>
      <c r="J54" s="62" t="n">
        <f aca="false">F54-G54</f>
        <v>0.00298999999999983</v>
      </c>
      <c r="K54" s="63" t="n">
        <f aca="false">IF(J54=0,0,I54/J54)</f>
        <v>0.50836120401347</v>
      </c>
      <c r="L54" s="62" t="n">
        <f aca="false">MAX(F54-G54,ABS(F54-H53),ABS(G54-H53))</f>
        <v>0.00298999999999983</v>
      </c>
      <c r="M54" s="62" t="n">
        <f aca="false">AVERAGE(L41:L54)</f>
        <v>0.00176999999999997</v>
      </c>
      <c r="N54" s="62" t="n">
        <f aca="false">H54*0.0909090909090909+N53*(1-0.0909090909090909)</f>
        <v>1.06713359519713</v>
      </c>
      <c r="O54" s="62" t="n">
        <f aca="false">AVERAGE(I41:I54)</f>
        <v>0.000862142857142859</v>
      </c>
      <c r="P54" s="62" t="n">
        <f aca="false">AVERAGE(J50:J54)</f>
        <v>0.00153399999999992</v>
      </c>
      <c r="Q54" s="62" t="n">
        <f aca="false">AVERAGE(J45:J49)</f>
        <v>0.00158999999999998</v>
      </c>
      <c r="R54" s="63" t="n">
        <f aca="false">IF(Q54=0,0,P54/Q54)</f>
        <v>0.964779874213801</v>
      </c>
    </row>
    <row r="55" customFormat="false" ht="15" hidden="false" customHeight="true" outlineLevel="0" collapsed="false">
      <c r="A55" s="60" t="n">
        <v>54</v>
      </c>
      <c r="B55" s="60" t="s">
        <v>206</v>
      </c>
      <c r="C55" s="60" t="s">
        <v>253</v>
      </c>
      <c r="D55" s="60" t="s">
        <v>252</v>
      </c>
      <c r="E55" s="61" t="n">
        <v>1.06286</v>
      </c>
      <c r="F55" s="61" t="n">
        <v>1.06349</v>
      </c>
      <c r="G55" s="61" t="n">
        <v>1.06192</v>
      </c>
      <c r="H55" s="61" t="n">
        <v>1.06212</v>
      </c>
      <c r="I55" s="62" t="n">
        <f aca="false">ABS(H55-E55)</f>
        <v>0.000739999999999963</v>
      </c>
      <c r="J55" s="62" t="n">
        <f aca="false">F55-G55</f>
        <v>0.00157000000000007</v>
      </c>
      <c r="K55" s="63" t="n">
        <f aca="false">IF(J55=0,0,I55/J55)</f>
        <v>0.471337579617789</v>
      </c>
      <c r="L55" s="62" t="n">
        <f aca="false">MAX(F55-G55,ABS(F55-H54),ABS(G55-H54))</f>
        <v>0.00157000000000007</v>
      </c>
      <c r="M55" s="62" t="n">
        <f aca="false">AVERAGE(L42:L55)</f>
        <v>0.00176499999999997</v>
      </c>
      <c r="N55" s="62" t="n">
        <f aca="false">H55*0.0909090909090909+N54*(1-0.0909090909090909)</f>
        <v>1.06667781381557</v>
      </c>
      <c r="O55" s="62" t="n">
        <f aca="false">AVERAGE(I42:I55)</f>
        <v>0.000847142857142856</v>
      </c>
      <c r="P55" s="62" t="n">
        <f aca="false">AVERAGE(J51:J55)</f>
        <v>0.00140599999999997</v>
      </c>
      <c r="Q55" s="62" t="n">
        <f aca="false">AVERAGE(J46:J50)</f>
        <v>0.00166999999999997</v>
      </c>
      <c r="R55" s="63" t="n">
        <f aca="false">IF(Q55=0,0,P55/Q55)</f>
        <v>0.84191616766467</v>
      </c>
    </row>
    <row r="56" customFormat="false" ht="15" hidden="false" customHeight="true" outlineLevel="0" collapsed="false">
      <c r="A56" s="60" t="n">
        <v>55</v>
      </c>
      <c r="B56" s="60" t="s">
        <v>206</v>
      </c>
      <c r="C56" s="60" t="s">
        <v>254</v>
      </c>
      <c r="D56" s="60" t="s">
        <v>252</v>
      </c>
      <c r="E56" s="61" t="n">
        <v>1.06212</v>
      </c>
      <c r="F56" s="61" t="n">
        <v>1.06454</v>
      </c>
      <c r="G56" s="61" t="n">
        <v>1.062</v>
      </c>
      <c r="H56" s="61" t="n">
        <v>1.06367</v>
      </c>
      <c r="I56" s="62" t="n">
        <f aca="false">ABS(H56-E56)</f>
        <v>0.00154999999999994</v>
      </c>
      <c r="J56" s="62" t="n">
        <f aca="false">F56-G56</f>
        <v>0.00253999999999999</v>
      </c>
      <c r="K56" s="63" t="n">
        <f aca="false">IF(J56=0,0,I56/J56)</f>
        <v>0.610236220472421</v>
      </c>
      <c r="L56" s="62" t="n">
        <f aca="false">MAX(F56-G56,ABS(F56-H55),ABS(G56-H55))</f>
        <v>0.00253999999999999</v>
      </c>
      <c r="M56" s="62" t="n">
        <f aca="false">AVERAGE(L43:L56)</f>
        <v>0.0019085714285714</v>
      </c>
      <c r="N56" s="62" t="n">
        <f aca="false">H56*0.0909090909090909+N55*(1-0.0909090909090909)</f>
        <v>1.06640437619598</v>
      </c>
      <c r="O56" s="62" t="n">
        <f aca="false">AVERAGE(I43:I56)</f>
        <v>0.000950714285714281</v>
      </c>
      <c r="P56" s="62" t="n">
        <f aca="false">AVERAGE(J52:J56)</f>
        <v>0.001762</v>
      </c>
      <c r="Q56" s="62" t="n">
        <f aca="false">AVERAGE(J47:J51)</f>
        <v>0.00145799999999991</v>
      </c>
      <c r="R56" s="63" t="n">
        <f aca="false">IF(Q56=0,0,P56/Q56)</f>
        <v>1.20850480109746</v>
      </c>
    </row>
    <row r="57" customFormat="false" ht="15" hidden="false" customHeight="true" outlineLevel="0" collapsed="false">
      <c r="A57" s="60" t="n">
        <v>56</v>
      </c>
      <c r="B57" s="60" t="s">
        <v>206</v>
      </c>
      <c r="C57" s="60" t="s">
        <v>255</v>
      </c>
      <c r="D57" s="60" t="s">
        <v>252</v>
      </c>
      <c r="E57" s="61" t="n">
        <v>1.06367</v>
      </c>
      <c r="F57" s="61" t="n">
        <v>1.06473</v>
      </c>
      <c r="G57" s="61" t="n">
        <v>1.06253</v>
      </c>
      <c r="H57" s="61" t="n">
        <v>1.06298</v>
      </c>
      <c r="I57" s="62" t="n">
        <f aca="false">ABS(H57-E57)</f>
        <v>0.000689999999999857</v>
      </c>
      <c r="J57" s="62" t="n">
        <f aca="false">F57-G57</f>
        <v>0.00219999999999998</v>
      </c>
      <c r="K57" s="63" t="n">
        <f aca="false">IF(J57=0,0,I57/J57)</f>
        <v>0.313636363636302</v>
      </c>
      <c r="L57" s="62" t="n">
        <f aca="false">MAX(F57-G57,ABS(F57-H56),ABS(G57-H56))</f>
        <v>0.00219999999999998</v>
      </c>
      <c r="M57" s="62" t="n">
        <f aca="false">AVERAGE(L44:L57)</f>
        <v>0.00184499999999997</v>
      </c>
      <c r="N57" s="62" t="n">
        <f aca="false">H57*0.0909090909090909+N56*(1-0.0909090909090909)</f>
        <v>1.06609306926907</v>
      </c>
      <c r="O57" s="62" t="n">
        <f aca="false">AVERAGE(I44:I57)</f>
        <v>0.000842857142857129</v>
      </c>
      <c r="P57" s="62" t="n">
        <f aca="false">AVERAGE(J53:J57)</f>
        <v>0.00194199999999998</v>
      </c>
      <c r="Q57" s="62" t="n">
        <f aca="false">AVERAGE(J48:J52)</f>
        <v>0.00135999999999994</v>
      </c>
      <c r="R57" s="63" t="n">
        <f aca="false">IF(Q57=0,0,P57/Q57)</f>
        <v>1.42794117647064</v>
      </c>
    </row>
    <row r="58" customFormat="false" ht="15" hidden="false" customHeight="true" outlineLevel="0" collapsed="false">
      <c r="A58" s="60" t="n">
        <v>57</v>
      </c>
      <c r="B58" s="60" t="s">
        <v>206</v>
      </c>
      <c r="C58" s="60" t="s">
        <v>256</v>
      </c>
      <c r="D58" s="60" t="s">
        <v>252</v>
      </c>
      <c r="E58" s="61" t="n">
        <v>1.06298</v>
      </c>
      <c r="F58" s="61" t="n">
        <v>1.06302</v>
      </c>
      <c r="G58" s="61" t="n">
        <v>1.0625</v>
      </c>
      <c r="H58" s="61" t="n">
        <v>1.06295</v>
      </c>
      <c r="I58" s="62" t="n">
        <f aca="false">ABS(H58-E58)</f>
        <v>2.99999999999745E-005</v>
      </c>
      <c r="J58" s="62" t="n">
        <f aca="false">F58-G58</f>
        <v>0.000520000000000076</v>
      </c>
      <c r="K58" s="63" t="n">
        <f aca="false">IF(J58=0,0,I58/J58)</f>
        <v>0.0576923076922502</v>
      </c>
      <c r="L58" s="62" t="n">
        <f aca="false">MAX(F58-G58,ABS(F58-H57),ABS(G58-H57))</f>
        <v>0.000520000000000076</v>
      </c>
      <c r="M58" s="62" t="n">
        <f aca="false">AVERAGE(L45:L58)</f>
        <v>0.0016035714285714</v>
      </c>
      <c r="N58" s="62" t="n">
        <f aca="false">H58*0.0909090909090909+N57*(1-0.0909090909090909)</f>
        <v>1.06580733569915</v>
      </c>
      <c r="O58" s="62" t="n">
        <f aca="false">AVERAGE(I45:I58)</f>
        <v>0.000677857142857127</v>
      </c>
      <c r="P58" s="62" t="n">
        <f aca="false">AVERAGE(J54:J58)</f>
        <v>0.00196399999999999</v>
      </c>
      <c r="Q58" s="62" t="n">
        <f aca="false">AVERAGE(J49:J53)</f>
        <v>0.00115799999999995</v>
      </c>
      <c r="R58" s="63" t="n">
        <f aca="false">IF(Q58=0,0,P58/Q58)</f>
        <v>1.69602763385153</v>
      </c>
    </row>
    <row r="59" customFormat="false" ht="15" hidden="false" customHeight="true" outlineLevel="0" collapsed="false">
      <c r="A59" s="60" t="n">
        <v>58</v>
      </c>
      <c r="B59" s="60" t="s">
        <v>206</v>
      </c>
      <c r="C59" s="60" t="s">
        <v>257</v>
      </c>
      <c r="D59" s="60" t="s">
        <v>258</v>
      </c>
      <c r="E59" s="61" t="n">
        <v>1.06295</v>
      </c>
      <c r="F59" s="61" t="n">
        <v>1.06377</v>
      </c>
      <c r="G59" s="61" t="n">
        <v>1.06286</v>
      </c>
      <c r="H59" s="61" t="n">
        <v>1.06345</v>
      </c>
      <c r="I59" s="62" t="n">
        <f aca="false">ABS(H59-E59)</f>
        <v>0.000499999999999945</v>
      </c>
      <c r="J59" s="62" t="n">
        <f aca="false">F59-G59</f>
        <v>0.000910000000000188</v>
      </c>
      <c r="K59" s="63" t="n">
        <f aca="false">IF(J59=0,0,I59/J59)</f>
        <v>0.549450549450375</v>
      </c>
      <c r="L59" s="62" t="n">
        <f aca="false">MAX(F59-G59,ABS(F59-H58),ABS(G59-H58))</f>
        <v>0.000910000000000188</v>
      </c>
      <c r="M59" s="62" t="n">
        <f aca="false">AVERAGE(L46:L59)</f>
        <v>0.00153928571428571</v>
      </c>
      <c r="N59" s="62" t="n">
        <f aca="false">H59*0.0909090909090909+N58*(1-0.0909090909090909)</f>
        <v>1.06559303245378</v>
      </c>
      <c r="O59" s="62" t="n">
        <f aca="false">AVERAGE(I46:I59)</f>
        <v>0.000654285714285703</v>
      </c>
      <c r="P59" s="62" t="n">
        <f aca="false">AVERAGE(J55:J59)</f>
        <v>0.00154800000000006</v>
      </c>
      <c r="Q59" s="62" t="n">
        <f aca="false">AVERAGE(J50:J54)</f>
        <v>0.00153399999999992</v>
      </c>
      <c r="R59" s="63" t="n">
        <f aca="false">IF(Q59=0,0,P59/Q59)</f>
        <v>1.00912646675367</v>
      </c>
    </row>
    <row r="60" customFormat="false" ht="15" hidden="false" customHeight="true" outlineLevel="0" collapsed="false">
      <c r="A60" s="60" t="n">
        <v>59</v>
      </c>
      <c r="B60" s="60" t="s">
        <v>206</v>
      </c>
      <c r="C60" s="60" t="s">
        <v>259</v>
      </c>
      <c r="D60" s="60" t="s">
        <v>258</v>
      </c>
      <c r="E60" s="61" t="n">
        <v>1.06345</v>
      </c>
      <c r="F60" s="61" t="n">
        <v>1.06418</v>
      </c>
      <c r="G60" s="61" t="n">
        <v>1.06143</v>
      </c>
      <c r="H60" s="61" t="n">
        <v>1.06223</v>
      </c>
      <c r="I60" s="62" t="n">
        <f aca="false">ABS(H60-E60)</f>
        <v>0.00122</v>
      </c>
      <c r="J60" s="62" t="n">
        <f aca="false">F60-G60</f>
        <v>0.00274999999999981</v>
      </c>
      <c r="K60" s="63" t="n">
        <f aca="false">IF(J60=0,0,I60/J60)</f>
        <v>0.443636363636394</v>
      </c>
      <c r="L60" s="62" t="n">
        <f aca="false">MAX(F60-G60,ABS(F60-H59),ABS(G60-H59))</f>
        <v>0.00274999999999981</v>
      </c>
      <c r="M60" s="62" t="n">
        <f aca="false">AVERAGE(L47:L60)</f>
        <v>0.00160571428571426</v>
      </c>
      <c r="N60" s="62" t="n">
        <f aca="false">H60*0.0909090909090909+N59*(1-0.0909090909090909)</f>
        <v>1.06528730223071</v>
      </c>
      <c r="O60" s="62" t="n">
        <f aca="false">AVERAGE(I47:I60)</f>
        <v>0.000730714285714267</v>
      </c>
      <c r="P60" s="62" t="n">
        <f aca="false">AVERAGE(J56:J60)</f>
        <v>0.00178400000000001</v>
      </c>
      <c r="Q60" s="62" t="n">
        <f aca="false">AVERAGE(J51:J55)</f>
        <v>0.00140599999999997</v>
      </c>
      <c r="R60" s="63" t="n">
        <f aca="false">IF(Q60=0,0,P60/Q60)</f>
        <v>1.26884779516361</v>
      </c>
    </row>
    <row r="61" customFormat="false" ht="15" hidden="false" customHeight="true" outlineLevel="0" collapsed="false">
      <c r="A61" s="60" t="n">
        <v>60</v>
      </c>
      <c r="B61" s="60" t="s">
        <v>206</v>
      </c>
      <c r="C61" s="60" t="s">
        <v>118</v>
      </c>
      <c r="D61" s="60" t="s">
        <v>260</v>
      </c>
      <c r="E61" s="61" t="n">
        <v>1.06223</v>
      </c>
      <c r="F61" s="61" t="n">
        <v>1.06241</v>
      </c>
      <c r="G61" s="61" t="n">
        <v>1.06165</v>
      </c>
      <c r="H61" s="61" t="n">
        <v>1.06167</v>
      </c>
      <c r="I61" s="62" t="n">
        <f aca="false">ABS(H61-E61)</f>
        <v>0.000560000000000116</v>
      </c>
      <c r="J61" s="62" t="n">
        <f aca="false">F61-G61</f>
        <v>0.000760000000000094</v>
      </c>
      <c r="K61" s="63" t="n">
        <f aca="false">IF(J61=0,0,I61/J61)</f>
        <v>0.736842105263219</v>
      </c>
      <c r="L61" s="62" t="n">
        <f aca="false">MAX(F61-G61,ABS(F61-H60),ABS(G61-H60))</f>
        <v>0.000760000000000094</v>
      </c>
      <c r="M61" s="62" t="n">
        <f aca="false">AVERAGE(L48:L61)</f>
        <v>0.00153214285714284</v>
      </c>
      <c r="N61" s="62" t="n">
        <f aca="false">H61*0.0909090909090909+N60*(1-0.0909090909090909)</f>
        <v>1.06495845657337</v>
      </c>
      <c r="O61" s="62" t="n">
        <f aca="false">AVERAGE(I48:I61)</f>
        <v>0.000657857142857139</v>
      </c>
      <c r="P61" s="62" t="n">
        <f aca="false">AVERAGE(J57:J61)</f>
        <v>0.00142800000000003</v>
      </c>
      <c r="Q61" s="62" t="n">
        <f aca="false">AVERAGE(J52:J56)</f>
        <v>0.001762</v>
      </c>
      <c r="R61" s="63" t="n">
        <f aca="false">IF(Q61=0,0,P61/Q61)</f>
        <v>0.810442678774138</v>
      </c>
    </row>
    <row r="62" customFormat="false" ht="15" hidden="false" customHeight="true" outlineLevel="0" collapsed="false">
      <c r="A62" s="60" t="n">
        <v>61</v>
      </c>
      <c r="B62" s="60" t="s">
        <v>206</v>
      </c>
      <c r="C62" s="60" t="s">
        <v>261</v>
      </c>
      <c r="D62" s="60" t="s">
        <v>260</v>
      </c>
      <c r="E62" s="61" t="n">
        <v>1.06167</v>
      </c>
      <c r="F62" s="61" t="n">
        <v>1.06198</v>
      </c>
      <c r="G62" s="61" t="n">
        <v>1.06081</v>
      </c>
      <c r="H62" s="61" t="n">
        <v>1.06119</v>
      </c>
      <c r="I62" s="62" t="n">
        <f aca="false">ABS(H62-E62)</f>
        <v>0.000479999999999814</v>
      </c>
      <c r="J62" s="62" t="n">
        <f aca="false">F62-G62</f>
        <v>0.00116999999999989</v>
      </c>
      <c r="K62" s="63" t="n">
        <f aca="false">IF(J62=0,0,I62/J62)</f>
        <v>0.410256410256289</v>
      </c>
      <c r="L62" s="62" t="n">
        <f aca="false">MAX(F62-G62,ABS(F62-H61),ABS(G62-H61))</f>
        <v>0.00116999999999989</v>
      </c>
      <c r="M62" s="62" t="n">
        <f aca="false">AVERAGE(L49:L62)</f>
        <v>0.00151428571428569</v>
      </c>
      <c r="N62" s="62" t="n">
        <f aca="false">H62*0.0909090909090909+N61*(1-0.0909090909090909)</f>
        <v>1.06461586961215</v>
      </c>
      <c r="O62" s="62" t="n">
        <f aca="false">AVERAGE(I49:I62)</f>
        <v>0.000679999999999982</v>
      </c>
      <c r="P62" s="62" t="n">
        <f aca="false">AVERAGE(J58:J62)</f>
        <v>0.00122200000000001</v>
      </c>
      <c r="Q62" s="62" t="n">
        <f aca="false">AVERAGE(J53:J57)</f>
        <v>0.00194199999999998</v>
      </c>
      <c r="R62" s="63" t="n">
        <f aca="false">IF(Q62=0,0,P62/Q62)</f>
        <v>0.629248197734308</v>
      </c>
    </row>
    <row r="63" customFormat="false" ht="15" hidden="false" customHeight="true" outlineLevel="0" collapsed="false">
      <c r="A63" s="60" t="n">
        <v>62</v>
      </c>
      <c r="B63" s="60" t="s">
        <v>206</v>
      </c>
      <c r="C63" s="60" t="s">
        <v>262</v>
      </c>
      <c r="D63" s="60" t="s">
        <v>260</v>
      </c>
      <c r="E63" s="61" t="n">
        <v>1.06119</v>
      </c>
      <c r="F63" s="61" t="n">
        <v>1.06128</v>
      </c>
      <c r="G63" s="61" t="n">
        <v>1.06084</v>
      </c>
      <c r="H63" s="61" t="n">
        <v>1.06086</v>
      </c>
      <c r="I63" s="62" t="n">
        <f aca="false">ABS(H63-E63)</f>
        <v>0.000330000000000164</v>
      </c>
      <c r="J63" s="62" t="n">
        <f aca="false">F63-G63</f>
        <v>0.000439999999999996</v>
      </c>
      <c r="K63" s="63" t="n">
        <f aca="false">IF(J63=0,0,I63/J63)</f>
        <v>0.750000000000379</v>
      </c>
      <c r="L63" s="62" t="n">
        <f aca="false">MAX(F63-G63,ABS(F63-H62),ABS(G63-H62))</f>
        <v>0.000439999999999996</v>
      </c>
      <c r="M63" s="62" t="n">
        <f aca="false">AVERAGE(L50:L63)</f>
        <v>0.00146642857142855</v>
      </c>
      <c r="N63" s="62" t="n">
        <f aca="false">H63*0.0909090909090909+N62*(1-0.0909090909090909)</f>
        <v>1.06427442692014</v>
      </c>
      <c r="O63" s="62" t="n">
        <f aca="false">AVERAGE(I50:I63)</f>
        <v>0.000660714285714284</v>
      </c>
      <c r="P63" s="62" t="n">
        <f aca="false">AVERAGE(J59:J63)</f>
        <v>0.001206</v>
      </c>
      <c r="Q63" s="62" t="n">
        <f aca="false">AVERAGE(J54:J58)</f>
        <v>0.00196399999999999</v>
      </c>
      <c r="R63" s="63" t="n">
        <f aca="false">IF(Q63=0,0,P63/Q63)</f>
        <v>0.614052953156825</v>
      </c>
    </row>
    <row r="64" customFormat="false" ht="15" hidden="false" customHeight="true" outlineLevel="0" collapsed="false">
      <c r="A64" s="60" t="n">
        <v>63</v>
      </c>
      <c r="B64" s="60" t="s">
        <v>206</v>
      </c>
      <c r="C64" s="60" t="s">
        <v>263</v>
      </c>
      <c r="D64" s="60" t="s">
        <v>260</v>
      </c>
      <c r="E64" s="61" t="n">
        <v>1.06086</v>
      </c>
      <c r="F64" s="61" t="n">
        <v>1.06256</v>
      </c>
      <c r="G64" s="61" t="n">
        <v>1.06063</v>
      </c>
      <c r="H64" s="61" t="n">
        <v>1.06215</v>
      </c>
      <c r="I64" s="62" t="n">
        <f aca="false">ABS(H64-E64)</f>
        <v>0.00129000000000001</v>
      </c>
      <c r="J64" s="62" t="n">
        <f aca="false">F64-G64</f>
        <v>0.00192999999999999</v>
      </c>
      <c r="K64" s="63" t="n">
        <f aca="false">IF(J64=0,0,I64/J64)</f>
        <v>0.668393782383431</v>
      </c>
      <c r="L64" s="62" t="n">
        <f aca="false">MAX(F64-G64,ABS(F64-H63),ABS(G64-H63))</f>
        <v>0.00192999999999999</v>
      </c>
      <c r="M64" s="62" t="n">
        <f aca="false">AVERAGE(L51:L64)</f>
        <v>0.00144642857142856</v>
      </c>
      <c r="N64" s="62" t="n">
        <f aca="false">H64*0.0909090909090909+N63*(1-0.0909090909090909)</f>
        <v>1.06408129720013</v>
      </c>
      <c r="O64" s="62" t="n">
        <f aca="false">AVERAGE(I51:I64)</f>
        <v>0.000703571428571422</v>
      </c>
      <c r="P64" s="62" t="n">
        <f aca="false">AVERAGE(J60:J64)</f>
        <v>0.00140999999999996</v>
      </c>
      <c r="Q64" s="62" t="n">
        <f aca="false">AVERAGE(J55:J59)</f>
        <v>0.00154800000000006</v>
      </c>
      <c r="R64" s="63" t="n">
        <f aca="false">IF(Q64=0,0,P64/Q64)</f>
        <v>0.910852713178231</v>
      </c>
    </row>
    <row r="65" customFormat="false" ht="15" hidden="false" customHeight="true" outlineLevel="0" collapsed="false">
      <c r="A65" s="60" t="n">
        <v>64</v>
      </c>
      <c r="B65" s="60" t="s">
        <v>206</v>
      </c>
      <c r="C65" s="60" t="s">
        <v>264</v>
      </c>
      <c r="D65" s="60" t="s">
        <v>260</v>
      </c>
      <c r="E65" s="61" t="n">
        <v>1.06215</v>
      </c>
      <c r="F65" s="61" t="n">
        <v>1.06298</v>
      </c>
      <c r="G65" s="61" t="n">
        <v>1.06096</v>
      </c>
      <c r="H65" s="61" t="n">
        <v>1.06153</v>
      </c>
      <c r="I65" s="62" t="n">
        <f aca="false">ABS(H65-E65)</f>
        <v>0.000619999999999843</v>
      </c>
      <c r="J65" s="62" t="n">
        <f aca="false">F65-G65</f>
        <v>0.00202000000000013</v>
      </c>
      <c r="K65" s="63" t="n">
        <f aca="false">IF(J65=0,0,I65/J65)</f>
        <v>0.306930693069209</v>
      </c>
      <c r="L65" s="62" t="n">
        <f aca="false">MAX(F65-G65,ABS(F65-H64),ABS(G65-H64))</f>
        <v>0.00202000000000013</v>
      </c>
      <c r="M65" s="62" t="n">
        <f aca="false">AVERAGE(L52:L65)</f>
        <v>0.00153642857142858</v>
      </c>
      <c r="N65" s="62" t="n">
        <f aca="false">H65*0.0909090909090909+N64*(1-0.0909090909090909)</f>
        <v>1.06384936109102</v>
      </c>
      <c r="O65" s="62" t="n">
        <f aca="false">AVERAGE(I52:I65)</f>
        <v>0.000735714285714268</v>
      </c>
      <c r="P65" s="62" t="n">
        <f aca="false">AVERAGE(J61:J65)</f>
        <v>0.00126400000000002</v>
      </c>
      <c r="Q65" s="62" t="n">
        <f aca="false">AVERAGE(J56:J60)</f>
        <v>0.00178400000000001</v>
      </c>
      <c r="R65" s="63" t="n">
        <f aca="false">IF(Q65=0,0,P65/Q65)</f>
        <v>0.708520179372206</v>
      </c>
    </row>
    <row r="66" customFormat="false" ht="15" hidden="false" customHeight="true" outlineLevel="0" collapsed="false">
      <c r="A66" s="60" t="n">
        <v>65</v>
      </c>
      <c r="B66" s="60" t="s">
        <v>206</v>
      </c>
      <c r="C66" s="60" t="s">
        <v>265</v>
      </c>
      <c r="D66" s="60" t="s">
        <v>258</v>
      </c>
      <c r="E66" s="61" t="n">
        <v>1.06153</v>
      </c>
      <c r="F66" s="61" t="n">
        <v>1.06268</v>
      </c>
      <c r="G66" s="61" t="n">
        <v>1.0612</v>
      </c>
      <c r="H66" s="61" t="n">
        <v>1.06259</v>
      </c>
      <c r="I66" s="62" t="n">
        <f aca="false">ABS(H66-E66)</f>
        <v>0.00105999999999984</v>
      </c>
      <c r="J66" s="62" t="n">
        <f aca="false">F66-G66</f>
        <v>0.00148000000000015</v>
      </c>
      <c r="K66" s="63" t="n">
        <f aca="false">IF(J66=0,0,I66/J66)</f>
        <v>0.716216216216036</v>
      </c>
      <c r="L66" s="62" t="n">
        <f aca="false">MAX(F66-G66,ABS(F66-H65),ABS(G66-H65))</f>
        <v>0.00148000000000015</v>
      </c>
      <c r="M66" s="62" t="n">
        <f aca="false">AVERAGE(L53:L66)</f>
        <v>0.00154928571428573</v>
      </c>
      <c r="N66" s="62" t="n">
        <f aca="false">H66*0.0909090909090909+N65*(1-0.0909090909090909)</f>
        <v>1.06373487371911</v>
      </c>
      <c r="O66" s="62" t="n">
        <f aca="false">AVERAGE(I53:I66)</f>
        <v>0.000757142857142837</v>
      </c>
      <c r="P66" s="62" t="n">
        <f aca="false">AVERAGE(J62:J66)</f>
        <v>0.00140800000000003</v>
      </c>
      <c r="Q66" s="62" t="n">
        <f aca="false">AVERAGE(J57:J61)</f>
        <v>0.00142800000000003</v>
      </c>
      <c r="R66" s="63" t="n">
        <f aca="false">IF(Q66=0,0,P66/Q66)</f>
        <v>0.985994397759105</v>
      </c>
    </row>
    <row r="67" customFormat="false" ht="15" hidden="false" customHeight="true" outlineLevel="0" collapsed="false">
      <c r="A67" s="60" t="n">
        <v>66</v>
      </c>
      <c r="B67" s="60" t="s">
        <v>208</v>
      </c>
      <c r="C67" s="60" t="s">
        <v>251</v>
      </c>
      <c r="D67" s="60" t="s">
        <v>252</v>
      </c>
      <c r="E67" s="61" t="n">
        <v>1.06259</v>
      </c>
      <c r="F67" s="61" t="n">
        <v>1.06395</v>
      </c>
      <c r="G67" s="61" t="n">
        <v>1.06204</v>
      </c>
      <c r="H67" s="61" t="n">
        <v>1.06345</v>
      </c>
      <c r="I67" s="62" t="n">
        <f aca="false">ABS(H67-E67)</f>
        <v>0.000860000000000083</v>
      </c>
      <c r="J67" s="62" t="n">
        <f aca="false">F67-G67</f>
        <v>0.00190999999999986</v>
      </c>
      <c r="K67" s="63" t="n">
        <f aca="false">IF(J67=0,0,I67/J67)</f>
        <v>0.450261780104789</v>
      </c>
      <c r="L67" s="62" t="n">
        <f aca="false">MAX(F67-G67,ABS(F67-H66),ABS(G67-H66))</f>
        <v>0.00190999999999986</v>
      </c>
      <c r="M67" s="62" t="n">
        <f aca="false">AVERAGE(L54:L67)</f>
        <v>0.00165642857142857</v>
      </c>
      <c r="N67" s="62" t="n">
        <f aca="false">H67*0.0909090909090909+N66*(1-0.0909090909090909)</f>
        <v>1.06370897610828</v>
      </c>
      <c r="O67" s="62" t="n">
        <f aca="false">AVERAGE(I54:I67)</f>
        <v>0.000817857142857124</v>
      </c>
      <c r="P67" s="62" t="n">
        <f aca="false">AVERAGE(J63:J67)</f>
        <v>0.00155600000000002</v>
      </c>
      <c r="Q67" s="62" t="n">
        <f aca="false">AVERAGE(J58:J62)</f>
        <v>0.00122200000000001</v>
      </c>
      <c r="R67" s="63" t="n">
        <f aca="false">IF(Q67=0,0,P67/Q67)</f>
        <v>1.2733224222586</v>
      </c>
    </row>
    <row r="68" customFormat="false" ht="15" hidden="false" customHeight="true" outlineLevel="0" collapsed="false">
      <c r="A68" s="60" t="n">
        <v>67</v>
      </c>
      <c r="B68" s="60" t="s">
        <v>208</v>
      </c>
      <c r="C68" s="60" t="s">
        <v>253</v>
      </c>
      <c r="D68" s="60" t="s">
        <v>252</v>
      </c>
      <c r="E68" s="61" t="n">
        <v>1.06345</v>
      </c>
      <c r="F68" s="61" t="n">
        <v>1.06436</v>
      </c>
      <c r="G68" s="61" t="n">
        <v>1.0622</v>
      </c>
      <c r="H68" s="61" t="n">
        <v>1.06295</v>
      </c>
      <c r="I68" s="62" t="n">
        <f aca="false">ABS(H68-E68)</f>
        <v>0.000499999999999945</v>
      </c>
      <c r="J68" s="62" t="n">
        <f aca="false">F68-G68</f>
        <v>0.00215999999999994</v>
      </c>
      <c r="K68" s="63" t="n">
        <f aca="false">IF(J68=0,0,I68/J68)</f>
        <v>0.231481481481462</v>
      </c>
      <c r="L68" s="62" t="n">
        <f aca="false">MAX(F68-G68,ABS(F68-H67),ABS(G68-H67))</f>
        <v>0.00215999999999994</v>
      </c>
      <c r="M68" s="62" t="n">
        <f aca="false">AVERAGE(L55:L68)</f>
        <v>0.00159714285714287</v>
      </c>
      <c r="N68" s="62" t="n">
        <f aca="false">H68*0.0909090909090909+N67*(1-0.0909090909090909)</f>
        <v>1.06363997828026</v>
      </c>
      <c r="O68" s="62" t="n">
        <f aca="false">AVERAGE(I55:I68)</f>
        <v>0.000744999999999964</v>
      </c>
      <c r="P68" s="62" t="n">
        <f aca="false">AVERAGE(J64:J68)</f>
        <v>0.00190000000000001</v>
      </c>
      <c r="Q68" s="62" t="n">
        <f aca="false">AVERAGE(J59:J63)</f>
        <v>0.001206</v>
      </c>
      <c r="R68" s="63" t="n">
        <f aca="false">IF(Q68=0,0,P68/Q68)</f>
        <v>1.57545605306801</v>
      </c>
    </row>
    <row r="69" customFormat="false" ht="15" hidden="false" customHeight="true" outlineLevel="0" collapsed="false">
      <c r="A69" s="60" t="n">
        <v>68</v>
      </c>
      <c r="B69" s="60" t="s">
        <v>208</v>
      </c>
      <c r="C69" s="60" t="s">
        <v>254</v>
      </c>
      <c r="D69" s="60" t="s">
        <v>252</v>
      </c>
      <c r="E69" s="61" t="n">
        <v>1.06295</v>
      </c>
      <c r="F69" s="61" t="n">
        <v>1.0642</v>
      </c>
      <c r="G69" s="61" t="n">
        <v>1.06243</v>
      </c>
      <c r="H69" s="61" t="n">
        <v>1.0639</v>
      </c>
      <c r="I69" s="62" t="n">
        <f aca="false">ABS(H69-E69)</f>
        <v>0.000950000000000006</v>
      </c>
      <c r="J69" s="62" t="n">
        <f aca="false">F69-G69</f>
        <v>0.00177000000000005</v>
      </c>
      <c r="K69" s="63" t="n">
        <f aca="false">IF(J69=0,0,I69/J69)</f>
        <v>0.536723163841797</v>
      </c>
      <c r="L69" s="62" t="n">
        <f aca="false">MAX(F69-G69,ABS(F69-H68),ABS(G69-H68))</f>
        <v>0.00177000000000005</v>
      </c>
      <c r="M69" s="62" t="n">
        <f aca="false">AVERAGE(L56:L69)</f>
        <v>0.00161142857142858</v>
      </c>
      <c r="N69" s="62" t="n">
        <f aca="false">H69*0.0909090909090909+N68*(1-0.0909090909090909)</f>
        <v>1.06366361661842</v>
      </c>
      <c r="O69" s="62" t="n">
        <f aca="false">AVERAGE(I56:I69)</f>
        <v>0.000759999999999967</v>
      </c>
      <c r="P69" s="62" t="n">
        <f aca="false">AVERAGE(J65:J69)</f>
        <v>0.00186800000000003</v>
      </c>
      <c r="Q69" s="62" t="n">
        <f aca="false">AVERAGE(J60:J64)</f>
        <v>0.00140999999999996</v>
      </c>
      <c r="R69" s="63" t="n">
        <f aca="false">IF(Q69=0,0,P69/Q69)</f>
        <v>1.32482269503552</v>
      </c>
    </row>
    <row r="70" customFormat="false" ht="15" hidden="false" customHeight="true" outlineLevel="0" collapsed="false">
      <c r="A70" s="60" t="n">
        <v>69</v>
      </c>
      <c r="B70" s="60" t="s">
        <v>208</v>
      </c>
      <c r="C70" s="60" t="s">
        <v>255</v>
      </c>
      <c r="D70" s="60" t="s">
        <v>252</v>
      </c>
      <c r="E70" s="61" t="n">
        <v>1.0639</v>
      </c>
      <c r="F70" s="61" t="n">
        <v>1.06686</v>
      </c>
      <c r="G70" s="61" t="n">
        <v>1.06321</v>
      </c>
      <c r="H70" s="61" t="n">
        <v>1.06597</v>
      </c>
      <c r="I70" s="62" t="n">
        <f aca="false">ABS(H70-E70)</f>
        <v>0.00207000000000002</v>
      </c>
      <c r="J70" s="62" t="n">
        <f aca="false">F70-G70</f>
        <v>0.00364999999999993</v>
      </c>
      <c r="K70" s="63" t="n">
        <f aca="false">IF(J70=0,0,I70/J70)</f>
        <v>0.567123287671248</v>
      </c>
      <c r="L70" s="62" t="n">
        <f aca="false">MAX(F70-G70,ABS(F70-H69),ABS(G70-H69))</f>
        <v>0.00364999999999993</v>
      </c>
      <c r="M70" s="62" t="n">
        <f aca="false">AVERAGE(L57:L70)</f>
        <v>0.00169071428571429</v>
      </c>
      <c r="N70" s="62" t="n">
        <f aca="false">H70*0.0909090909090909+N69*(1-0.0909090909090909)</f>
        <v>1.06387328783492</v>
      </c>
      <c r="O70" s="62" t="n">
        <f aca="false">AVERAGE(I57:I70)</f>
        <v>0.00079714285714283</v>
      </c>
      <c r="P70" s="62" t="n">
        <f aca="false">AVERAGE(J66:J70)</f>
        <v>0.00219399999999999</v>
      </c>
      <c r="Q70" s="62" t="n">
        <f aca="false">AVERAGE(J61:J65)</f>
        <v>0.00126400000000002</v>
      </c>
      <c r="R70" s="63" t="n">
        <f aca="false">IF(Q70=0,0,P70/Q70)</f>
        <v>1.73575949367085</v>
      </c>
    </row>
    <row r="71" customFormat="false" ht="15" hidden="false" customHeight="true" outlineLevel="0" collapsed="false">
      <c r="A71" s="60" t="n">
        <v>70</v>
      </c>
      <c r="B71" s="60" t="s">
        <v>208</v>
      </c>
      <c r="C71" s="60" t="s">
        <v>256</v>
      </c>
      <c r="D71" s="60" t="s">
        <v>252</v>
      </c>
      <c r="E71" s="61" t="n">
        <v>1.06597</v>
      </c>
      <c r="F71" s="61" t="n">
        <v>1.06646</v>
      </c>
      <c r="G71" s="61" t="n">
        <v>1.0635</v>
      </c>
      <c r="H71" s="61" t="n">
        <v>1.06411</v>
      </c>
      <c r="I71" s="62" t="n">
        <f aca="false">ABS(H71-E71)</f>
        <v>0.00186000000000019</v>
      </c>
      <c r="J71" s="62" t="n">
        <f aca="false">F71-G71</f>
        <v>0.00296000000000007</v>
      </c>
      <c r="K71" s="63" t="n">
        <f aca="false">IF(J71=0,0,I71/J71)</f>
        <v>0.628378378378429</v>
      </c>
      <c r="L71" s="62" t="n">
        <f aca="false">MAX(F71-G71,ABS(F71-H70),ABS(G71-H70))</f>
        <v>0.00296000000000007</v>
      </c>
      <c r="M71" s="62" t="n">
        <f aca="false">AVERAGE(L58:L71)</f>
        <v>0.00174500000000001</v>
      </c>
      <c r="N71" s="62" t="n">
        <f aca="false">H71*0.0909090909090909+N70*(1-0.0909090909090909)</f>
        <v>1.06389480712266</v>
      </c>
      <c r="O71" s="62" t="n">
        <f aca="false">AVERAGE(I58:I71)</f>
        <v>0.000880714285714282</v>
      </c>
      <c r="P71" s="62" t="n">
        <f aca="false">AVERAGE(J67:J71)</f>
        <v>0.00248999999999997</v>
      </c>
      <c r="Q71" s="62" t="n">
        <f aca="false">AVERAGE(J62:J66)</f>
        <v>0.00140800000000003</v>
      </c>
      <c r="R71" s="63" t="n">
        <f aca="false">IF(Q71=0,0,P71/Q71)</f>
        <v>1.76846590909085</v>
      </c>
    </row>
    <row r="72" customFormat="false" ht="15" hidden="false" customHeight="true" outlineLevel="0" collapsed="false">
      <c r="A72" s="60" t="n">
        <v>71</v>
      </c>
      <c r="B72" s="60" t="s">
        <v>208</v>
      </c>
      <c r="C72" s="60" t="s">
        <v>257</v>
      </c>
      <c r="D72" s="60" t="s">
        <v>258</v>
      </c>
      <c r="E72" s="61" t="n">
        <v>1.06411</v>
      </c>
      <c r="F72" s="61" t="n">
        <v>1.06461</v>
      </c>
      <c r="G72" s="61" t="n">
        <v>1.06311</v>
      </c>
      <c r="H72" s="61" t="n">
        <v>1.0641</v>
      </c>
      <c r="I72" s="62" t="n">
        <f aca="false">ABS(H72-E72)</f>
        <v>9.99999999984347E-006</v>
      </c>
      <c r="J72" s="62" t="n">
        <f aca="false">F72-G72</f>
        <v>0.00150000000000006</v>
      </c>
      <c r="K72" s="63" t="n">
        <f aca="false">IF(J72=0,0,I72/J72)</f>
        <v>0.00666666666656206</v>
      </c>
      <c r="L72" s="62" t="n">
        <f aca="false">MAX(F72-G72,ABS(F72-H71),ABS(G72-H71))</f>
        <v>0.00150000000000006</v>
      </c>
      <c r="M72" s="62" t="n">
        <f aca="false">AVERAGE(L59:L72)</f>
        <v>0.00181500000000001</v>
      </c>
      <c r="N72" s="62" t="n">
        <f aca="false">H72*0.0909090909090909+N71*(1-0.0909090909090909)</f>
        <v>1.0639134610206</v>
      </c>
      <c r="O72" s="62" t="n">
        <f aca="false">AVERAGE(I59:I72)</f>
        <v>0.000879285714285702</v>
      </c>
      <c r="P72" s="62" t="n">
        <f aca="false">AVERAGE(J68:J72)</f>
        <v>0.00240800000000001</v>
      </c>
      <c r="Q72" s="62" t="n">
        <f aca="false">AVERAGE(J63:J67)</f>
        <v>0.00155600000000002</v>
      </c>
      <c r="R72" s="63" t="n">
        <f aca="false">IF(Q72=0,0,P72/Q72)</f>
        <v>1.54755784061695</v>
      </c>
    </row>
    <row r="73" customFormat="false" ht="15" hidden="false" customHeight="true" outlineLevel="0" collapsed="false">
      <c r="A73" s="60" t="n">
        <v>72</v>
      </c>
      <c r="B73" s="60" t="s">
        <v>208</v>
      </c>
      <c r="C73" s="60" t="s">
        <v>259</v>
      </c>
      <c r="D73" s="60" t="s">
        <v>258</v>
      </c>
      <c r="E73" s="61" t="n">
        <v>1.0641</v>
      </c>
      <c r="F73" s="61" t="n">
        <v>1.06425</v>
      </c>
      <c r="G73" s="61" t="n">
        <v>1.06175</v>
      </c>
      <c r="H73" s="61" t="n">
        <v>1.06177</v>
      </c>
      <c r="I73" s="62" t="n">
        <f aca="false">ABS(H73-E73)</f>
        <v>0.00232999999999994</v>
      </c>
      <c r="J73" s="62" t="n">
        <f aca="false">F73-G73</f>
        <v>0.00249999999999995</v>
      </c>
      <c r="K73" s="63" t="n">
        <f aca="false">IF(J73=0,0,I73/J73)</f>
        <v>0.931999999999997</v>
      </c>
      <c r="L73" s="62" t="n">
        <f aca="false">MAX(F73-G73,ABS(F73-H72),ABS(G73-H72))</f>
        <v>0.00249999999999995</v>
      </c>
      <c r="M73" s="62" t="n">
        <f aca="false">AVERAGE(L60:L73)</f>
        <v>0.00192857142857142</v>
      </c>
      <c r="N73" s="62" t="n">
        <f aca="false">H73*0.0909090909090909+N72*(1-0.0909090909090909)</f>
        <v>1.06371860092782</v>
      </c>
      <c r="O73" s="62" t="n">
        <f aca="false">AVERAGE(I60:I73)</f>
        <v>0.00100999999999999</v>
      </c>
      <c r="P73" s="62" t="n">
        <f aca="false">AVERAGE(J69:J73)</f>
        <v>0.00247600000000001</v>
      </c>
      <c r="Q73" s="62" t="n">
        <f aca="false">AVERAGE(J64:J68)</f>
        <v>0.00190000000000001</v>
      </c>
      <c r="R73" s="63" t="n">
        <f aca="false">IF(Q73=0,0,P73/Q73)</f>
        <v>1.30315789473684</v>
      </c>
    </row>
    <row r="74" customFormat="false" ht="15" hidden="false" customHeight="true" outlineLevel="0" collapsed="false">
      <c r="A74" s="60" t="n">
        <v>73</v>
      </c>
      <c r="B74" s="60" t="s">
        <v>208</v>
      </c>
      <c r="C74" s="60" t="s">
        <v>118</v>
      </c>
      <c r="D74" s="60" t="s">
        <v>260</v>
      </c>
      <c r="E74" s="61" t="n">
        <v>1.06177</v>
      </c>
      <c r="F74" s="61" t="n">
        <v>1.0618</v>
      </c>
      <c r="G74" s="61" t="n">
        <v>1.06099</v>
      </c>
      <c r="H74" s="61" t="n">
        <v>1.0615</v>
      </c>
      <c r="I74" s="62" t="n">
        <f aca="false">ABS(H74-E74)</f>
        <v>0.000269999999999992</v>
      </c>
      <c r="J74" s="62" t="n">
        <f aca="false">F74-G74</f>
        <v>0.000809999999999977</v>
      </c>
      <c r="K74" s="63" t="n">
        <f aca="false">IF(J74=0,0,I74/J74)</f>
        <v>0.333333333333333</v>
      </c>
      <c r="L74" s="62" t="n">
        <f aca="false">MAX(F74-G74,ABS(F74-H73),ABS(G74-H73))</f>
        <v>0.000809999999999977</v>
      </c>
      <c r="M74" s="62" t="n">
        <f aca="false">AVERAGE(L61:L74)</f>
        <v>0.00179000000000001</v>
      </c>
      <c r="N74" s="62" t="n">
        <f aca="false">H74*0.0909090909090909+N73*(1-0.0909090909090909)</f>
        <v>1.06351690993438</v>
      </c>
      <c r="O74" s="62" t="n">
        <f aca="false">AVERAGE(I61:I74)</f>
        <v>0.000942142857142844</v>
      </c>
      <c r="P74" s="62" t="n">
        <f aca="false">AVERAGE(J70:J74)</f>
        <v>0.002284</v>
      </c>
      <c r="Q74" s="62" t="n">
        <f aca="false">AVERAGE(J65:J69)</f>
        <v>0.00186800000000003</v>
      </c>
      <c r="R74" s="63" t="n">
        <f aca="false">IF(Q74=0,0,P74/Q74)</f>
        <v>1.22269807280512</v>
      </c>
    </row>
    <row r="75" customFormat="false" ht="15" hidden="false" customHeight="true" outlineLevel="0" collapsed="false">
      <c r="A75" s="60" t="n">
        <v>74</v>
      </c>
      <c r="B75" s="60" t="s">
        <v>208</v>
      </c>
      <c r="C75" s="60" t="s">
        <v>261</v>
      </c>
      <c r="D75" s="60" t="s">
        <v>260</v>
      </c>
      <c r="E75" s="61" t="n">
        <v>1.0615</v>
      </c>
      <c r="F75" s="61" t="n">
        <v>1.0616</v>
      </c>
      <c r="G75" s="61" t="n">
        <v>1.05926</v>
      </c>
      <c r="H75" s="61" t="n">
        <v>1.05984</v>
      </c>
      <c r="I75" s="62" t="n">
        <f aca="false">ABS(H75-E75)</f>
        <v>0.00166000000000022</v>
      </c>
      <c r="J75" s="62" t="n">
        <f aca="false">F75-G75</f>
        <v>0.00234000000000001</v>
      </c>
      <c r="K75" s="63" t="n">
        <f aca="false">IF(J75=0,0,I75/J75)</f>
        <v>0.7094017094018</v>
      </c>
      <c r="L75" s="62" t="n">
        <f aca="false">MAX(F75-G75,ABS(F75-H74),ABS(G75-H74))</f>
        <v>0.00234000000000001</v>
      </c>
      <c r="M75" s="62" t="n">
        <f aca="false">AVERAGE(L62:L75)</f>
        <v>0.00190285714285714</v>
      </c>
      <c r="N75" s="62" t="n">
        <f aca="false">H75*0.0909090909090909+N74*(1-0.0909090909090909)</f>
        <v>1.06318264539489</v>
      </c>
      <c r="O75" s="62" t="n">
        <f aca="false">AVERAGE(I62:I75)</f>
        <v>0.00102071428571428</v>
      </c>
      <c r="P75" s="62" t="n">
        <f aca="false">AVERAGE(J71:J75)</f>
        <v>0.00202200000000001</v>
      </c>
      <c r="Q75" s="62" t="n">
        <f aca="false">AVERAGE(J66:J70)</f>
        <v>0.00219399999999999</v>
      </c>
      <c r="R75" s="63" t="n">
        <f aca="false">IF(Q75=0,0,P75/Q75)</f>
        <v>0.921604375569748</v>
      </c>
    </row>
    <row r="76" customFormat="false" ht="15" hidden="false" customHeight="true" outlineLevel="0" collapsed="false">
      <c r="A76" s="60" t="n">
        <v>75</v>
      </c>
      <c r="B76" s="60" t="s">
        <v>208</v>
      </c>
      <c r="C76" s="60" t="s">
        <v>262</v>
      </c>
      <c r="D76" s="60" t="s">
        <v>260</v>
      </c>
      <c r="E76" s="61" t="n">
        <v>1.05984</v>
      </c>
      <c r="F76" s="61" t="n">
        <v>1.06014</v>
      </c>
      <c r="G76" s="61" t="n">
        <v>1.05799</v>
      </c>
      <c r="H76" s="61" t="n">
        <v>1.05803</v>
      </c>
      <c r="I76" s="62" t="n">
        <f aca="false">ABS(H76-E76)</f>
        <v>0.00180999999999987</v>
      </c>
      <c r="J76" s="62" t="n">
        <f aca="false">F76-G76</f>
        <v>0.0021500000000001</v>
      </c>
      <c r="K76" s="63" t="n">
        <f aca="false">IF(J76=0,0,I76/J76)</f>
        <v>0.84186046511618</v>
      </c>
      <c r="L76" s="62" t="n">
        <f aca="false">MAX(F76-G76,ABS(F76-H75),ABS(G76-H75))</f>
        <v>0.0021500000000001</v>
      </c>
      <c r="M76" s="62" t="n">
        <f aca="false">AVERAGE(L63:L76)</f>
        <v>0.00197285714285716</v>
      </c>
      <c r="N76" s="62" t="n">
        <f aca="false">H76*0.0909090909090909+N75*(1-0.0909090909090909)</f>
        <v>1.06271422308626</v>
      </c>
      <c r="O76" s="62" t="n">
        <f aca="false">AVERAGE(I63:I76)</f>
        <v>0.00111571428571428</v>
      </c>
      <c r="P76" s="62" t="n">
        <f aca="false">AVERAGE(J72:J76)</f>
        <v>0.00186000000000002</v>
      </c>
      <c r="Q76" s="62" t="n">
        <f aca="false">AVERAGE(J67:J71)</f>
        <v>0.00248999999999997</v>
      </c>
      <c r="R76" s="63" t="n">
        <f aca="false">IF(Q76=0,0,P76/Q76)</f>
        <v>0.746987951807245</v>
      </c>
    </row>
    <row r="77" customFormat="false" ht="15" hidden="false" customHeight="true" outlineLevel="0" collapsed="false">
      <c r="A77" s="60" t="n">
        <v>76</v>
      </c>
      <c r="B77" s="60" t="s">
        <v>208</v>
      </c>
      <c r="C77" s="60" t="s">
        <v>263</v>
      </c>
      <c r="D77" s="60" t="s">
        <v>260</v>
      </c>
      <c r="E77" s="61" t="n">
        <v>1.05803</v>
      </c>
      <c r="F77" s="61" t="n">
        <v>1.05907</v>
      </c>
      <c r="G77" s="61" t="n">
        <v>1.05764</v>
      </c>
      <c r="H77" s="61" t="n">
        <v>1.05848</v>
      </c>
      <c r="I77" s="62" t="n">
        <f aca="false">ABS(H77-E77)</f>
        <v>0.000450000000000061</v>
      </c>
      <c r="J77" s="62" t="n">
        <f aca="false">F77-G77</f>
        <v>0.00143000000000004</v>
      </c>
      <c r="K77" s="63" t="n">
        <f aca="false">IF(J77=0,0,I77/J77)</f>
        <v>0.314685314685348</v>
      </c>
      <c r="L77" s="62" t="n">
        <f aca="false">MAX(F77-G77,ABS(F77-H76),ABS(G77-H76))</f>
        <v>0.00143000000000004</v>
      </c>
      <c r="M77" s="62" t="n">
        <f aca="false">AVERAGE(L64:L77)</f>
        <v>0.00204357142857145</v>
      </c>
      <c r="N77" s="62" t="n">
        <f aca="false">H77*0.0909090909090909+N76*(1-0.0909090909090909)</f>
        <v>1.06232929371478</v>
      </c>
      <c r="O77" s="62" t="n">
        <f aca="false">AVERAGE(I64:I77)</f>
        <v>0.0011242857142857</v>
      </c>
      <c r="P77" s="62" t="n">
        <f aca="false">AVERAGE(J73:J77)</f>
        <v>0.00184600000000001</v>
      </c>
      <c r="Q77" s="62" t="n">
        <f aca="false">AVERAGE(J68:J72)</f>
        <v>0.00240800000000001</v>
      </c>
      <c r="R77" s="63" t="n">
        <f aca="false">IF(Q77=0,0,P77/Q77)</f>
        <v>0.766611295681066</v>
      </c>
    </row>
    <row r="78" customFormat="false" ht="15" hidden="false" customHeight="true" outlineLevel="0" collapsed="false">
      <c r="A78" s="60" t="n">
        <v>77</v>
      </c>
      <c r="B78" s="60" t="s">
        <v>208</v>
      </c>
      <c r="C78" s="60" t="s">
        <v>264</v>
      </c>
      <c r="D78" s="60" t="s">
        <v>260</v>
      </c>
      <c r="E78" s="61" t="n">
        <v>1.05848</v>
      </c>
      <c r="F78" s="61" t="n">
        <v>1.05901</v>
      </c>
      <c r="G78" s="61" t="n">
        <v>1.05726</v>
      </c>
      <c r="H78" s="61" t="n">
        <v>1.05738</v>
      </c>
      <c r="I78" s="62" t="n">
        <f aca="false">ABS(H78-E78)</f>
        <v>0.0011000000000001</v>
      </c>
      <c r="J78" s="62" t="n">
        <f aca="false">F78-G78</f>
        <v>0.00174999999999992</v>
      </c>
      <c r="K78" s="63" t="n">
        <f aca="false">IF(J78=0,0,I78/J78)</f>
        <v>0.628571428571516</v>
      </c>
      <c r="L78" s="62" t="n">
        <f aca="false">MAX(F78-G78,ABS(F78-H77),ABS(G78-H77))</f>
        <v>0.00174999999999992</v>
      </c>
      <c r="M78" s="62" t="n">
        <f aca="false">AVERAGE(L65:L78)</f>
        <v>0.0020307142857143</v>
      </c>
      <c r="N78" s="62" t="n">
        <f aca="false">H78*0.0909090909090909+N77*(1-0.0909090909090909)</f>
        <v>1.06187935792253</v>
      </c>
      <c r="O78" s="62" t="n">
        <f aca="false">AVERAGE(I65:I78)</f>
        <v>0.00111071428571428</v>
      </c>
      <c r="P78" s="62" t="n">
        <f aca="false">AVERAGE(J74:J78)</f>
        <v>0.00169600000000001</v>
      </c>
      <c r="Q78" s="62" t="n">
        <f aca="false">AVERAGE(J69:J73)</f>
        <v>0.00247600000000001</v>
      </c>
      <c r="R78" s="63" t="n">
        <f aca="false">IF(Q78=0,0,P78/Q78)</f>
        <v>0.684975767366721</v>
      </c>
    </row>
    <row r="79" customFormat="false" ht="15" hidden="false" customHeight="true" outlineLevel="0" collapsed="false">
      <c r="A79" s="60" t="n">
        <v>78</v>
      </c>
      <c r="B79" s="60" t="s">
        <v>208</v>
      </c>
      <c r="C79" s="60" t="s">
        <v>265</v>
      </c>
      <c r="D79" s="60" t="s">
        <v>258</v>
      </c>
      <c r="E79" s="61" t="n">
        <v>1.05738</v>
      </c>
      <c r="F79" s="61" t="n">
        <v>1.05759</v>
      </c>
      <c r="G79" s="61" t="n">
        <v>1.05631</v>
      </c>
      <c r="H79" s="61" t="n">
        <v>1.05652</v>
      </c>
      <c r="I79" s="62" t="n">
        <f aca="false">ABS(H79-E79)</f>
        <v>0.000860000000000083</v>
      </c>
      <c r="J79" s="62" t="n">
        <f aca="false">F79-G79</f>
        <v>0.00127999999999995</v>
      </c>
      <c r="K79" s="63" t="n">
        <f aca="false">IF(J79=0,0,I79/J79)</f>
        <v>0.671875000000092</v>
      </c>
      <c r="L79" s="62" t="n">
        <f aca="false">MAX(F79-G79,ABS(F79-H78),ABS(G79-H78))</f>
        <v>0.00127999999999995</v>
      </c>
      <c r="M79" s="62" t="n">
        <f aca="false">AVERAGE(L66:L79)</f>
        <v>0.00197785714285714</v>
      </c>
      <c r="N79" s="62" t="n">
        <f aca="false">H79*0.0909090909090909+N78*(1-0.0909090909090909)</f>
        <v>1.06139214356594</v>
      </c>
      <c r="O79" s="62" t="n">
        <f aca="false">AVERAGE(I66:I79)</f>
        <v>0.00112785714285716</v>
      </c>
      <c r="P79" s="62" t="n">
        <f aca="false">AVERAGE(J75:J79)</f>
        <v>0.00179</v>
      </c>
      <c r="Q79" s="62" t="n">
        <f aca="false">AVERAGE(J70:J74)</f>
        <v>0.002284</v>
      </c>
      <c r="R79" s="63" t="n">
        <f aca="false">IF(Q79=0,0,P79/Q79)</f>
        <v>0.783712784588444</v>
      </c>
    </row>
    <row r="80" customFormat="false" ht="15" hidden="false" customHeight="true" outlineLevel="0" collapsed="false">
      <c r="A80" s="60" t="n">
        <v>79</v>
      </c>
      <c r="B80" s="60" t="s">
        <v>267</v>
      </c>
      <c r="C80" s="60" t="s">
        <v>251</v>
      </c>
      <c r="D80" s="60" t="s">
        <v>252</v>
      </c>
      <c r="E80" s="61" t="n">
        <v>1.05652</v>
      </c>
      <c r="F80" s="61" t="n">
        <v>1.05958</v>
      </c>
      <c r="G80" s="61" t="n">
        <v>1.05599</v>
      </c>
      <c r="H80" s="61" t="n">
        <v>1.05875</v>
      </c>
      <c r="I80" s="62" t="n">
        <f aca="false">ABS(H80-E80)</f>
        <v>0.00223000000000018</v>
      </c>
      <c r="J80" s="62" t="n">
        <f aca="false">F80-G80</f>
        <v>0.00358999999999998</v>
      </c>
      <c r="K80" s="63" t="n">
        <f aca="false">IF(J80=0,0,I80/J80)</f>
        <v>0.621169916434593</v>
      </c>
      <c r="L80" s="62" t="n">
        <f aca="false">MAX(F80-G80,ABS(F80-H79),ABS(G80-H79))</f>
        <v>0.00358999999999998</v>
      </c>
      <c r="M80" s="62" t="n">
        <f aca="false">AVERAGE(L67:L80)</f>
        <v>0.00212857142857142</v>
      </c>
      <c r="N80" s="62" t="n">
        <f aca="false">H80*0.0909090909090909+N79*(1-0.0909090909090909)</f>
        <v>1.06115194869631</v>
      </c>
      <c r="O80" s="62" t="n">
        <f aca="false">AVERAGE(I67:I80)</f>
        <v>0.00121142857142861</v>
      </c>
      <c r="P80" s="62" t="n">
        <f aca="false">AVERAGE(J76:J80)</f>
        <v>0.00204</v>
      </c>
      <c r="Q80" s="62" t="n">
        <f aca="false">AVERAGE(J71:J75)</f>
        <v>0.00202200000000001</v>
      </c>
      <c r="R80" s="63" t="n">
        <f aca="false">IF(Q80=0,0,P80/Q80)</f>
        <v>1.00890207715133</v>
      </c>
    </row>
    <row r="81" customFormat="false" ht="15" hidden="false" customHeight="true" outlineLevel="0" collapsed="false">
      <c r="A81" s="60" t="n">
        <v>80</v>
      </c>
      <c r="B81" s="60" t="s">
        <v>267</v>
      </c>
      <c r="C81" s="60" t="s">
        <v>253</v>
      </c>
      <c r="D81" s="60" t="s">
        <v>252</v>
      </c>
      <c r="E81" s="61" t="n">
        <v>1.05875</v>
      </c>
      <c r="F81" s="61" t="n">
        <v>1.05875</v>
      </c>
      <c r="G81" s="61" t="n">
        <v>1.05778</v>
      </c>
      <c r="H81" s="61" t="n">
        <v>1.05865</v>
      </c>
      <c r="I81" s="62" t="n">
        <f aca="false">ABS(H81-E81)</f>
        <v>9.9999999999989E-005</v>
      </c>
      <c r="J81" s="62" t="n">
        <f aca="false">F81-G81</f>
        <v>0.000970000000000137</v>
      </c>
      <c r="K81" s="63" t="n">
        <f aca="false">IF(J81=0,0,I81/J81)</f>
        <v>0.103092783505129</v>
      </c>
      <c r="L81" s="62" t="n">
        <f aca="false">MAX(F81-G81,ABS(F81-H80),ABS(G81-H80))</f>
        <v>0.000970000000000137</v>
      </c>
      <c r="M81" s="62" t="n">
        <f aca="false">AVERAGE(L68:L81)</f>
        <v>0.00206142857142858</v>
      </c>
      <c r="N81" s="62" t="n">
        <f aca="false">H81*0.0909090909090909+N80*(1-0.0909090909090909)</f>
        <v>1.06092449881482</v>
      </c>
      <c r="O81" s="62" t="n">
        <f aca="false">AVERAGE(I68:I81)</f>
        <v>0.00115714285714289</v>
      </c>
      <c r="P81" s="62" t="n">
        <f aca="false">AVERAGE(J77:J81)</f>
        <v>0.00180400000000001</v>
      </c>
      <c r="Q81" s="62" t="n">
        <f aca="false">AVERAGE(J72:J76)</f>
        <v>0.00186000000000002</v>
      </c>
      <c r="R81" s="63" t="n">
        <f aca="false">IF(Q81=0,0,P81/Q81)</f>
        <v>0.969892473118274</v>
      </c>
    </row>
    <row r="82" customFormat="false" ht="15" hidden="false" customHeight="true" outlineLevel="0" collapsed="false">
      <c r="A82" s="60" t="n">
        <v>81</v>
      </c>
      <c r="B82" s="60" t="s">
        <v>267</v>
      </c>
      <c r="C82" s="60" t="s">
        <v>254</v>
      </c>
      <c r="D82" s="60" t="s">
        <v>252</v>
      </c>
      <c r="E82" s="61" t="n">
        <v>1.05865</v>
      </c>
      <c r="F82" s="61" t="n">
        <v>1.05909</v>
      </c>
      <c r="G82" s="61" t="n">
        <v>1.05809</v>
      </c>
      <c r="H82" s="61" t="n">
        <v>1.05814</v>
      </c>
      <c r="I82" s="62" t="n">
        <f aca="false">ABS(H82-E82)</f>
        <v>0.00051000000000001</v>
      </c>
      <c r="J82" s="62" t="n">
        <f aca="false">F82-G82</f>
        <v>0.00100000000000011</v>
      </c>
      <c r="K82" s="63" t="n">
        <f aca="false">IF(J82=0,0,I82/J82)</f>
        <v>0.509999999999953</v>
      </c>
      <c r="L82" s="62" t="n">
        <f aca="false">MAX(F82-G82,ABS(F82-H81),ABS(G82-H81))</f>
        <v>0.00100000000000011</v>
      </c>
      <c r="M82" s="62" t="n">
        <f aca="false">AVERAGE(L69:L82)</f>
        <v>0.00197857142857145</v>
      </c>
      <c r="N82" s="62" t="n">
        <f aca="false">H82*0.0909090909090909+N81*(1-0.0909090909090909)</f>
        <v>1.06067136255893</v>
      </c>
      <c r="O82" s="62" t="n">
        <f aca="false">AVERAGE(I69:I82)</f>
        <v>0.00115785714285718</v>
      </c>
      <c r="P82" s="62" t="n">
        <f aca="false">AVERAGE(J78:J82)</f>
        <v>0.00171800000000002</v>
      </c>
      <c r="Q82" s="62" t="n">
        <f aca="false">AVERAGE(J73:J77)</f>
        <v>0.00184600000000001</v>
      </c>
      <c r="R82" s="63" t="n">
        <f aca="false">IF(Q82=0,0,P82/Q82)</f>
        <v>0.930660888407371</v>
      </c>
    </row>
    <row r="83" customFormat="false" ht="15" hidden="false" customHeight="true" outlineLevel="0" collapsed="false">
      <c r="A83" s="60" t="n">
        <v>82</v>
      </c>
      <c r="B83" s="60" t="s">
        <v>267</v>
      </c>
      <c r="C83" s="60" t="s">
        <v>255</v>
      </c>
      <c r="D83" s="60" t="s">
        <v>252</v>
      </c>
      <c r="E83" s="61" t="n">
        <v>1.05814</v>
      </c>
      <c r="F83" s="61" t="n">
        <v>1.0584</v>
      </c>
      <c r="G83" s="61" t="n">
        <v>1.05745</v>
      </c>
      <c r="H83" s="61" t="n">
        <v>1.05823</v>
      </c>
      <c r="I83" s="62" t="n">
        <f aca="false">ABS(H83-E83)</f>
        <v>8.99999999999235E-005</v>
      </c>
      <c r="J83" s="62" t="n">
        <f aca="false">F83-G83</f>
        <v>0.000950000000000006</v>
      </c>
      <c r="K83" s="63" t="n">
        <f aca="false">IF(J83=0,0,I83/J83)</f>
        <v>0.094736842105182</v>
      </c>
      <c r="L83" s="62" t="n">
        <f aca="false">MAX(F83-G83,ABS(F83-H82),ABS(G83-H82))</f>
        <v>0.000950000000000006</v>
      </c>
      <c r="M83" s="62" t="n">
        <f aca="false">AVERAGE(L70:L83)</f>
        <v>0.00192000000000002</v>
      </c>
      <c r="N83" s="62" t="n">
        <f aca="false">H83*0.0909090909090909+N82*(1-0.0909090909090909)</f>
        <v>1.06044942050812</v>
      </c>
      <c r="O83" s="62" t="n">
        <f aca="false">AVERAGE(I70:I83)</f>
        <v>0.0010964285714286</v>
      </c>
      <c r="P83" s="62" t="n">
        <f aca="false">AVERAGE(J79:J83)</f>
        <v>0.00155800000000004</v>
      </c>
      <c r="Q83" s="62" t="n">
        <f aca="false">AVERAGE(J74:J78)</f>
        <v>0.00169600000000001</v>
      </c>
      <c r="R83" s="63" t="n">
        <f aca="false">IF(Q83=0,0,P83/Q83)</f>
        <v>0.918632075471715</v>
      </c>
    </row>
    <row r="84" customFormat="false" ht="15" hidden="false" customHeight="true" outlineLevel="0" collapsed="false">
      <c r="A84" s="60" t="n">
        <v>83</v>
      </c>
      <c r="B84" s="60" t="s">
        <v>267</v>
      </c>
      <c r="C84" s="60" t="s">
        <v>256</v>
      </c>
      <c r="D84" s="60" t="s">
        <v>252</v>
      </c>
      <c r="E84" s="61" t="n">
        <v>1.05823</v>
      </c>
      <c r="F84" s="61" t="n">
        <v>1.05955</v>
      </c>
      <c r="G84" s="61" t="n">
        <v>1.05779</v>
      </c>
      <c r="H84" s="61" t="n">
        <v>1.05821</v>
      </c>
      <c r="I84" s="62" t="n">
        <f aca="false">ABS(H84-E84)</f>
        <v>1.9999999999909E-005</v>
      </c>
      <c r="J84" s="62" t="n">
        <f aca="false">F84-G84</f>
        <v>0.00175999999999998</v>
      </c>
      <c r="K84" s="63" t="n">
        <f aca="false">IF(J84=0,0,I84/J84)</f>
        <v>0.0113636363635848</v>
      </c>
      <c r="L84" s="62" t="n">
        <f aca="false">MAX(F84-G84,ABS(F84-H83),ABS(G84-H83))</f>
        <v>0.00175999999999998</v>
      </c>
      <c r="M84" s="62" t="n">
        <f aca="false">AVERAGE(L71:L84)</f>
        <v>0.00178500000000002</v>
      </c>
      <c r="N84" s="62" t="n">
        <f aca="false">H84*0.0909090909090909+N83*(1-0.0909090909090909)</f>
        <v>1.06024583682556</v>
      </c>
      <c r="O84" s="62" t="n">
        <f aca="false">AVERAGE(I71:I84)</f>
        <v>0.000950000000000022</v>
      </c>
      <c r="P84" s="62" t="n">
        <f aca="false">AVERAGE(J80:J84)</f>
        <v>0.00165400000000004</v>
      </c>
      <c r="Q84" s="62" t="n">
        <f aca="false">AVERAGE(J75:J79)</f>
        <v>0.00179</v>
      </c>
      <c r="R84" s="63" t="n">
        <f aca="false">IF(Q84=0,0,P84/Q84)</f>
        <v>0.924022346368739</v>
      </c>
    </row>
    <row r="85" customFormat="false" ht="15" hidden="false" customHeight="true" outlineLevel="0" collapsed="false">
      <c r="A85" s="60" t="n">
        <v>84</v>
      </c>
      <c r="B85" s="60" t="s">
        <v>267</v>
      </c>
      <c r="C85" s="60" t="s">
        <v>257</v>
      </c>
      <c r="D85" s="60" t="s">
        <v>258</v>
      </c>
      <c r="E85" s="61" t="n">
        <v>1.05821</v>
      </c>
      <c r="F85" s="61" t="n">
        <v>1.06016</v>
      </c>
      <c r="G85" s="61" t="n">
        <v>1.05572</v>
      </c>
      <c r="H85" s="61" t="n">
        <v>1.05604</v>
      </c>
      <c r="I85" s="62" t="n">
        <f aca="false">ABS(H85-E85)</f>
        <v>0.00217000000000001</v>
      </c>
      <c r="J85" s="62" t="n">
        <f aca="false">F85-G85</f>
        <v>0.00444</v>
      </c>
      <c r="K85" s="63" t="n">
        <f aca="false">IF(J85=0,0,I85/J85)</f>
        <v>0.48873873873874</v>
      </c>
      <c r="L85" s="62" t="n">
        <f aca="false">MAX(F85-G85,ABS(F85-H84),ABS(G85-H84))</f>
        <v>0.00444</v>
      </c>
      <c r="M85" s="62" t="n">
        <f aca="false">AVERAGE(L72:L85)</f>
        <v>0.0018907142857143</v>
      </c>
      <c r="N85" s="62" t="n">
        <f aca="false">H85*0.0909090909090909+N84*(1-0.0909090909090909)</f>
        <v>1.05986348802324</v>
      </c>
      <c r="O85" s="62" t="n">
        <f aca="false">AVERAGE(I72:I85)</f>
        <v>0.000972142857142866</v>
      </c>
      <c r="P85" s="62" t="n">
        <f aca="false">AVERAGE(J81:J85)</f>
        <v>0.00182400000000005</v>
      </c>
      <c r="Q85" s="62" t="n">
        <f aca="false">AVERAGE(J76:J80)</f>
        <v>0.00204</v>
      </c>
      <c r="R85" s="63" t="n">
        <f aca="false">IF(Q85=0,0,P85/Q85)</f>
        <v>0.894117647058848</v>
      </c>
    </row>
    <row r="86" customFormat="false" ht="15" hidden="false" customHeight="true" outlineLevel="0" collapsed="false">
      <c r="A86" s="60" t="n">
        <v>85</v>
      </c>
      <c r="B86" s="60" t="s">
        <v>267</v>
      </c>
      <c r="C86" s="60" t="s">
        <v>259</v>
      </c>
      <c r="D86" s="60" t="s">
        <v>258</v>
      </c>
      <c r="E86" s="61" t="n">
        <v>1.05604</v>
      </c>
      <c r="F86" s="61" t="n">
        <v>1.05754</v>
      </c>
      <c r="G86" s="61" t="n">
        <v>1.05534</v>
      </c>
      <c r="H86" s="61" t="n">
        <v>1.05751</v>
      </c>
      <c r="I86" s="62" t="n">
        <f aca="false">ABS(H86-E86)</f>
        <v>0.00146999999999986</v>
      </c>
      <c r="J86" s="62" t="n">
        <f aca="false">F86-G86</f>
        <v>0.00219999999999998</v>
      </c>
      <c r="K86" s="63" t="n">
        <f aca="false">IF(J86=0,0,I86/J86)</f>
        <v>0.668181818181761</v>
      </c>
      <c r="L86" s="62" t="n">
        <f aca="false">MAX(F86-G86,ABS(F86-H85),ABS(G86-H85))</f>
        <v>0.00219999999999998</v>
      </c>
      <c r="M86" s="62" t="n">
        <f aca="false">AVERAGE(L73:L86)</f>
        <v>0.0019407142857143</v>
      </c>
      <c r="N86" s="62" t="n">
        <f aca="false">H86*0.0909090909090909+N85*(1-0.0909090909090909)</f>
        <v>1.05964953456658</v>
      </c>
      <c r="O86" s="62" t="n">
        <f aca="false">AVERAGE(I73:I86)</f>
        <v>0.00107642857142858</v>
      </c>
      <c r="P86" s="62" t="n">
        <f aca="false">AVERAGE(J82:J86)</f>
        <v>0.00207000000000002</v>
      </c>
      <c r="Q86" s="62" t="n">
        <f aca="false">AVERAGE(J77:J81)</f>
        <v>0.00180400000000001</v>
      </c>
      <c r="R86" s="63" t="n">
        <f aca="false">IF(Q86=0,0,P86/Q86)</f>
        <v>1.14745011086475</v>
      </c>
    </row>
    <row r="87" customFormat="false" ht="15" hidden="false" customHeight="true" outlineLevel="0" collapsed="false">
      <c r="A87" s="60" t="n">
        <v>86</v>
      </c>
      <c r="B87" s="60" t="s">
        <v>267</v>
      </c>
      <c r="C87" s="60" t="s">
        <v>118</v>
      </c>
      <c r="D87" s="60" t="s">
        <v>260</v>
      </c>
      <c r="E87" s="61" t="n">
        <v>1.05751</v>
      </c>
      <c r="F87" s="61" t="n">
        <v>1.05819</v>
      </c>
      <c r="G87" s="61" t="n">
        <v>1.05638</v>
      </c>
      <c r="H87" s="61" t="n">
        <v>1.05647</v>
      </c>
      <c r="I87" s="62" t="n">
        <f aca="false">ABS(H87-E87)</f>
        <v>0.00103999999999993</v>
      </c>
      <c r="J87" s="62" t="n">
        <f aca="false">F87-G87</f>
        <v>0.00180999999999987</v>
      </c>
      <c r="K87" s="63" t="n">
        <f aca="false">IF(J87=0,0,I87/J87)</f>
        <v>0.574585635359119</v>
      </c>
      <c r="L87" s="62" t="n">
        <f aca="false">MAX(F87-G87,ABS(F87-H86),ABS(G87-H86))</f>
        <v>0.00180999999999987</v>
      </c>
      <c r="M87" s="62" t="n">
        <f aca="false">AVERAGE(L74:L87)</f>
        <v>0.00189142857142858</v>
      </c>
      <c r="N87" s="62" t="n">
        <f aca="false">H87*0.0909090909090909+N86*(1-0.0909090909090909)</f>
        <v>1.05936048596962</v>
      </c>
      <c r="O87" s="62" t="n">
        <f aca="false">AVERAGE(I74:I87)</f>
        <v>0.000984285714285723</v>
      </c>
      <c r="P87" s="62" t="n">
        <f aca="false">AVERAGE(J83:J87)</f>
        <v>0.00223199999999997</v>
      </c>
      <c r="Q87" s="62" t="n">
        <f aca="false">AVERAGE(J78:J82)</f>
        <v>0.00171800000000002</v>
      </c>
      <c r="R87" s="63" t="n">
        <f aca="false">IF(Q87=0,0,P87/Q87)</f>
        <v>1.29918509895224</v>
      </c>
    </row>
    <row r="88" customFormat="false" ht="15" hidden="false" customHeight="true" outlineLevel="0" collapsed="false">
      <c r="A88" s="60" t="n">
        <v>87</v>
      </c>
      <c r="B88" s="60" t="s">
        <v>267</v>
      </c>
      <c r="C88" s="60" t="s">
        <v>261</v>
      </c>
      <c r="D88" s="60" t="s">
        <v>260</v>
      </c>
      <c r="E88" s="61" t="n">
        <v>1.05647</v>
      </c>
      <c r="F88" s="61" t="n">
        <v>1.05656</v>
      </c>
      <c r="G88" s="61" t="n">
        <v>1.05645</v>
      </c>
      <c r="H88" s="61" t="n">
        <v>1.05653</v>
      </c>
      <c r="I88" s="62" t="n">
        <f aca="false">ABS(H88-E88)</f>
        <v>5.9999999999949E-005</v>
      </c>
      <c r="J88" s="62" t="n">
        <f aca="false">F88-G88</f>
        <v>0.000110000000000055</v>
      </c>
      <c r="K88" s="63" t="n">
        <f aca="false">IF(J88=0,0,I88/J88)</f>
        <v>0.545454545453811</v>
      </c>
      <c r="L88" s="62" t="n">
        <f aca="false">MAX(F88-G88,ABS(F88-H87),ABS(G88-H87))</f>
        <v>0.000110000000000055</v>
      </c>
      <c r="M88" s="62" t="n">
        <f aca="false">AVERAGE(L75:L88)</f>
        <v>0.00184142857142858</v>
      </c>
      <c r="N88" s="62" t="n">
        <f aca="false">H88*0.0909090909090909+N87*(1-0.0909090909090909)</f>
        <v>1.05910316906329</v>
      </c>
      <c r="O88" s="62" t="n">
        <f aca="false">AVERAGE(I75:I88)</f>
        <v>0.00096928571428572</v>
      </c>
      <c r="P88" s="62" t="n">
        <f aca="false">AVERAGE(J84:J88)</f>
        <v>0.00206399999999998</v>
      </c>
      <c r="Q88" s="62" t="n">
        <f aca="false">AVERAGE(J79:J83)</f>
        <v>0.00155800000000004</v>
      </c>
      <c r="R88" s="63" t="n">
        <f aca="false">IF(Q88=0,0,P88/Q88)</f>
        <v>1.32477535301664</v>
      </c>
    </row>
    <row r="89" customFormat="false" ht="15" hidden="false" customHeight="true" outlineLevel="0" collapsed="false">
      <c r="A89" s="60" t="n">
        <v>88</v>
      </c>
      <c r="B89" s="60" t="s">
        <v>267</v>
      </c>
      <c r="C89" s="60" t="s">
        <v>262</v>
      </c>
      <c r="D89" s="60" t="s">
        <v>260</v>
      </c>
      <c r="E89" s="61" t="n">
        <v>1.05653</v>
      </c>
      <c r="F89" s="61" t="n">
        <v>1.05774</v>
      </c>
      <c r="G89" s="61" t="n">
        <v>1.0564</v>
      </c>
      <c r="H89" s="61" t="n">
        <v>1.05741</v>
      </c>
      <c r="I89" s="62" t="n">
        <f aca="false">ABS(H89-E89)</f>
        <v>0.000879999999999992</v>
      </c>
      <c r="J89" s="62" t="n">
        <f aca="false">F89-G89</f>
        <v>0.0013399999999999</v>
      </c>
      <c r="K89" s="63" t="n">
        <f aca="false">IF(J89=0,0,I89/J89)</f>
        <v>0.656716417910492</v>
      </c>
      <c r="L89" s="62" t="n">
        <f aca="false">MAX(F89-G89,ABS(F89-H88),ABS(G89-H88))</f>
        <v>0.0013399999999999</v>
      </c>
      <c r="M89" s="62" t="n">
        <f aca="false">AVERAGE(L76:L89)</f>
        <v>0.00177</v>
      </c>
      <c r="N89" s="62" t="n">
        <f aca="false">H89*0.0909090909090909+N88*(1-0.0909090909090909)</f>
        <v>1.05894924460299</v>
      </c>
      <c r="O89" s="62" t="n">
        <f aca="false">AVERAGE(I76:I89)</f>
        <v>0.000913571428571418</v>
      </c>
      <c r="P89" s="62" t="n">
        <f aca="false">AVERAGE(J85:J89)</f>
        <v>0.00197999999999996</v>
      </c>
      <c r="Q89" s="62" t="n">
        <f aca="false">AVERAGE(J80:J84)</f>
        <v>0.00165400000000004</v>
      </c>
      <c r="R89" s="63" t="n">
        <f aca="false">IF(Q89=0,0,P89/Q89)</f>
        <v>1.19709794437721</v>
      </c>
    </row>
    <row r="90" customFormat="false" ht="15" hidden="false" customHeight="true" outlineLevel="0" collapsed="false">
      <c r="A90" s="60" t="n">
        <v>89</v>
      </c>
      <c r="B90" s="60" t="s">
        <v>267</v>
      </c>
      <c r="C90" s="60" t="s">
        <v>263</v>
      </c>
      <c r="D90" s="60" t="s">
        <v>260</v>
      </c>
      <c r="E90" s="61" t="n">
        <v>1.05741</v>
      </c>
      <c r="F90" s="61" t="n">
        <v>1.05772</v>
      </c>
      <c r="G90" s="61" t="n">
        <v>1.05585</v>
      </c>
      <c r="H90" s="61" t="n">
        <v>1.05626</v>
      </c>
      <c r="I90" s="62" t="n">
        <f aca="false">ABS(H90-E90)</f>
        <v>0.00114999999999998</v>
      </c>
      <c r="J90" s="62" t="n">
        <f aca="false">F90-G90</f>
        <v>0.00187000000000004</v>
      </c>
      <c r="K90" s="63" t="n">
        <f aca="false">IF(J90=0,0,I90/J90)</f>
        <v>0.614973262032065</v>
      </c>
      <c r="L90" s="62" t="n">
        <f aca="false">MAX(F90-G90,ABS(F90-H89),ABS(G90-H89))</f>
        <v>0.00187000000000004</v>
      </c>
      <c r="M90" s="62" t="n">
        <f aca="false">AVERAGE(L77:L90)</f>
        <v>0.00175</v>
      </c>
      <c r="N90" s="62" t="n">
        <f aca="false">H90*0.0909090909090909+N89*(1-0.0909090909090909)</f>
        <v>1.0587047678209</v>
      </c>
      <c r="O90" s="62" t="n">
        <f aca="false">AVERAGE(I77:I90)</f>
        <v>0.00086642857142857</v>
      </c>
      <c r="P90" s="62" t="n">
        <f aca="false">AVERAGE(J86:J90)</f>
        <v>0.00146599999999997</v>
      </c>
      <c r="Q90" s="62" t="n">
        <f aca="false">AVERAGE(J81:J85)</f>
        <v>0.00182400000000005</v>
      </c>
      <c r="R90" s="63" t="n">
        <f aca="false">IF(Q90=0,0,P90/Q90)</f>
        <v>0.8037280701754</v>
      </c>
    </row>
    <row r="91" customFormat="false" ht="15" hidden="false" customHeight="true" outlineLevel="0" collapsed="false">
      <c r="A91" s="60" t="n">
        <v>90</v>
      </c>
      <c r="B91" s="60" t="s">
        <v>267</v>
      </c>
      <c r="C91" s="60" t="s">
        <v>264</v>
      </c>
      <c r="D91" s="60" t="s">
        <v>260</v>
      </c>
      <c r="E91" s="61" t="n">
        <v>1.05626</v>
      </c>
      <c r="F91" s="61" t="n">
        <v>1.05823</v>
      </c>
      <c r="G91" s="61" t="n">
        <v>1.05618</v>
      </c>
      <c r="H91" s="61" t="n">
        <v>1.05747</v>
      </c>
      <c r="I91" s="62" t="n">
        <f aca="false">ABS(H91-E91)</f>
        <v>0.00120999999999993</v>
      </c>
      <c r="J91" s="62" t="n">
        <f aca="false">F91-G91</f>
        <v>0.00205000000000011</v>
      </c>
      <c r="K91" s="63" t="n">
        <f aca="false">IF(J91=0,0,I91/J91)</f>
        <v>0.590243902438961</v>
      </c>
      <c r="L91" s="62" t="n">
        <f aca="false">MAX(F91-G91,ABS(F91-H90),ABS(G91-H90))</f>
        <v>0.00205000000000011</v>
      </c>
      <c r="M91" s="62" t="n">
        <f aca="false">AVERAGE(L78:L91)</f>
        <v>0.00179428571428572</v>
      </c>
      <c r="N91" s="62" t="n">
        <f aca="false">H91*0.0909090909090909+N90*(1-0.0909090909090909)</f>
        <v>1.05859251620082</v>
      </c>
      <c r="O91" s="62" t="n">
        <f aca="false">AVERAGE(I78:I91)</f>
        <v>0.000920714285714275</v>
      </c>
      <c r="P91" s="62" t="n">
        <f aca="false">AVERAGE(J87:J91)</f>
        <v>0.00143599999999999</v>
      </c>
      <c r="Q91" s="62" t="n">
        <f aca="false">AVERAGE(J82:J86)</f>
        <v>0.00207000000000002</v>
      </c>
      <c r="R91" s="63" t="n">
        <f aca="false">IF(Q91=0,0,P91/Q91)</f>
        <v>0.693719806763276</v>
      </c>
    </row>
    <row r="92" customFormat="false" ht="15" hidden="false" customHeight="true" outlineLevel="0" collapsed="false">
      <c r="A92" s="60" t="n">
        <v>91</v>
      </c>
      <c r="B92" s="60" t="s">
        <v>267</v>
      </c>
      <c r="C92" s="60" t="s">
        <v>265</v>
      </c>
      <c r="D92" s="60" t="s">
        <v>258</v>
      </c>
      <c r="E92" s="61" t="n">
        <v>1.05747</v>
      </c>
      <c r="F92" s="61" t="n">
        <v>1.05826</v>
      </c>
      <c r="G92" s="61" t="n">
        <v>1.05643</v>
      </c>
      <c r="H92" s="61" t="n">
        <v>1.05746</v>
      </c>
      <c r="I92" s="62" t="n">
        <f aca="false">ABS(H92-E92)</f>
        <v>9.99999999984347E-006</v>
      </c>
      <c r="J92" s="62" t="n">
        <f aca="false">F92-G92</f>
        <v>0.00183</v>
      </c>
      <c r="K92" s="63" t="n">
        <f aca="false">IF(J92=0,0,I92/J92)</f>
        <v>0.00546448087423141</v>
      </c>
      <c r="L92" s="62" t="n">
        <f aca="false">MAX(F92-G92,ABS(F92-H91),ABS(G92-H91))</f>
        <v>0.00183</v>
      </c>
      <c r="M92" s="62" t="n">
        <f aca="false">AVERAGE(L79:L92)</f>
        <v>0.00180000000000001</v>
      </c>
      <c r="N92" s="62" t="n">
        <f aca="false">H92*0.0909090909090909+N91*(1-0.0909090909090909)</f>
        <v>1.05848956018256</v>
      </c>
      <c r="O92" s="62" t="n">
        <f aca="false">AVERAGE(I79:I92)</f>
        <v>0.000842857142857113</v>
      </c>
      <c r="P92" s="62" t="n">
        <f aca="false">AVERAGE(J88:J92)</f>
        <v>0.00144000000000002</v>
      </c>
      <c r="Q92" s="62" t="n">
        <f aca="false">AVERAGE(J83:J87)</f>
        <v>0.00223199999999997</v>
      </c>
      <c r="R92" s="63" t="n">
        <f aca="false">IF(Q92=0,0,P92/Q92)</f>
        <v>0.645161290322599</v>
      </c>
    </row>
    <row r="93" customFormat="false" ht="15" hidden="false" customHeight="true" outlineLevel="0" collapsed="false">
      <c r="A93" s="60" t="n">
        <v>92</v>
      </c>
      <c r="B93" s="60" t="s">
        <v>209</v>
      </c>
      <c r="C93" s="60" t="s">
        <v>251</v>
      </c>
      <c r="D93" s="60" t="s">
        <v>252</v>
      </c>
      <c r="E93" s="61" t="n">
        <v>1.05746</v>
      </c>
      <c r="F93" s="61" t="n">
        <v>1.05934</v>
      </c>
      <c r="G93" s="61" t="n">
        <v>1.057</v>
      </c>
      <c r="H93" s="61" t="n">
        <v>1.05907</v>
      </c>
      <c r="I93" s="62" t="n">
        <f aca="false">ABS(H93-E93)</f>
        <v>0.00160999999999989</v>
      </c>
      <c r="J93" s="62" t="n">
        <f aca="false">F93-G93</f>
        <v>0.00234000000000001</v>
      </c>
      <c r="K93" s="63" t="n">
        <f aca="false">IF(J93=0,0,I93/J93)</f>
        <v>0.688034188034138</v>
      </c>
      <c r="L93" s="62" t="n">
        <f aca="false">MAX(F93-G93,ABS(F93-H92),ABS(G93-H92))</f>
        <v>0.00234000000000001</v>
      </c>
      <c r="M93" s="62" t="n">
        <f aca="false">AVERAGE(L80:L93)</f>
        <v>0.0018757142857143</v>
      </c>
      <c r="N93" s="62" t="n">
        <f aca="false">H93*0.0909090909090909+N92*(1-0.0909090909090909)</f>
        <v>1.05854232743869</v>
      </c>
      <c r="O93" s="62" t="n">
        <f aca="false">AVERAGE(I80:I93)</f>
        <v>0.000896428571428528</v>
      </c>
      <c r="P93" s="62" t="n">
        <f aca="false">AVERAGE(J89:J93)</f>
        <v>0.00188600000000001</v>
      </c>
      <c r="Q93" s="62" t="n">
        <f aca="false">AVERAGE(J84:J88)</f>
        <v>0.00206399999999998</v>
      </c>
      <c r="R93" s="63" t="n">
        <f aca="false">IF(Q93=0,0,P93/Q93)</f>
        <v>0.913759689922496</v>
      </c>
    </row>
    <row r="94" customFormat="false" ht="15" hidden="false" customHeight="true" outlineLevel="0" collapsed="false">
      <c r="A94" s="60" t="n">
        <v>93</v>
      </c>
      <c r="B94" s="60" t="s">
        <v>209</v>
      </c>
      <c r="C94" s="60" t="s">
        <v>253</v>
      </c>
      <c r="D94" s="60" t="s">
        <v>252</v>
      </c>
      <c r="E94" s="61" t="n">
        <v>1.05907</v>
      </c>
      <c r="F94" s="61" t="n">
        <v>1.06105</v>
      </c>
      <c r="G94" s="61" t="n">
        <v>1.05892</v>
      </c>
      <c r="H94" s="61" t="n">
        <v>1.05948</v>
      </c>
      <c r="I94" s="62" t="n">
        <f aca="false">ABS(H94-E94)</f>
        <v>0.000410000000000021</v>
      </c>
      <c r="J94" s="62" t="n">
        <f aca="false">F94-G94</f>
        <v>0.00212999999999997</v>
      </c>
      <c r="K94" s="63" t="n">
        <f aca="false">IF(J94=0,0,I94/J94)</f>
        <v>0.192488262910811</v>
      </c>
      <c r="L94" s="62" t="n">
        <f aca="false">MAX(F94-G94,ABS(F94-H93),ABS(G94-H93))</f>
        <v>0.00212999999999997</v>
      </c>
      <c r="M94" s="62" t="n">
        <f aca="false">AVERAGE(L81:L94)</f>
        <v>0.00177142857142858</v>
      </c>
      <c r="N94" s="62" t="n">
        <f aca="false">H94*0.0909090909090909+N93*(1-0.0909090909090909)</f>
        <v>1.05862757039881</v>
      </c>
      <c r="O94" s="62" t="n">
        <f aca="false">AVERAGE(I81:I94)</f>
        <v>0.000766428571428517</v>
      </c>
      <c r="P94" s="62" t="n">
        <f aca="false">AVERAGE(J90:J94)</f>
        <v>0.00204400000000002</v>
      </c>
      <c r="Q94" s="62" t="n">
        <f aca="false">AVERAGE(J85:J89)</f>
        <v>0.00197999999999996</v>
      </c>
      <c r="R94" s="63" t="n">
        <f aca="false">IF(Q94=0,0,P94/Q94)</f>
        <v>1.03232323232327</v>
      </c>
    </row>
    <row r="95" customFormat="false" ht="15" hidden="false" customHeight="true" outlineLevel="0" collapsed="false">
      <c r="A95" s="60" t="n">
        <v>94</v>
      </c>
      <c r="B95" s="60" t="s">
        <v>209</v>
      </c>
      <c r="C95" s="60" t="s">
        <v>254</v>
      </c>
      <c r="D95" s="60" t="s">
        <v>252</v>
      </c>
      <c r="E95" s="61" t="n">
        <v>1.05948</v>
      </c>
      <c r="F95" s="61" t="n">
        <v>1.05953</v>
      </c>
      <c r="G95" s="61" t="n">
        <v>1.05877</v>
      </c>
      <c r="H95" s="61" t="n">
        <v>1.05942</v>
      </c>
      <c r="I95" s="62" t="n">
        <f aca="false">ABS(H95-E95)</f>
        <v>5.9999999999949E-005</v>
      </c>
      <c r="J95" s="62" t="n">
        <f aca="false">F95-G95</f>
        <v>0.000760000000000094</v>
      </c>
      <c r="K95" s="63" t="n">
        <f aca="false">IF(J95=0,0,I95/J95)</f>
        <v>0.0789473684209757</v>
      </c>
      <c r="L95" s="62" t="n">
        <f aca="false">MAX(F95-G95,ABS(F95-H94),ABS(G95-H94))</f>
        <v>0.000760000000000094</v>
      </c>
      <c r="M95" s="62" t="n">
        <f aca="false">AVERAGE(L82:L95)</f>
        <v>0.00175642857142858</v>
      </c>
      <c r="N95" s="62" t="n">
        <f aca="false">H95*0.0909090909090909+N94*(1-0.0909090909090909)</f>
        <v>1.05869960945347</v>
      </c>
      <c r="O95" s="62" t="n">
        <f aca="false">AVERAGE(I82:I95)</f>
        <v>0.000763571428571371</v>
      </c>
      <c r="P95" s="62" t="n">
        <f aca="false">AVERAGE(J91:J95)</f>
        <v>0.00182200000000003</v>
      </c>
      <c r="Q95" s="62" t="n">
        <f aca="false">AVERAGE(J86:J90)</f>
        <v>0.00146599999999997</v>
      </c>
      <c r="R95" s="63" t="n">
        <f aca="false">IF(Q95=0,0,P95/Q95)</f>
        <v>1.24283765347891</v>
      </c>
    </row>
    <row r="96" customFormat="false" ht="15" hidden="false" customHeight="true" outlineLevel="0" collapsed="false">
      <c r="A96" s="60" t="n">
        <v>95</v>
      </c>
      <c r="B96" s="60" t="s">
        <v>209</v>
      </c>
      <c r="C96" s="60" t="s">
        <v>255</v>
      </c>
      <c r="D96" s="60" t="s">
        <v>252</v>
      </c>
      <c r="E96" s="61" t="n">
        <v>1.05942</v>
      </c>
      <c r="F96" s="61" t="n">
        <v>1.05952</v>
      </c>
      <c r="G96" s="61" t="n">
        <v>1.05841</v>
      </c>
      <c r="H96" s="61" t="n">
        <v>1.05912</v>
      </c>
      <c r="I96" s="62" t="n">
        <f aca="false">ABS(H96-E96)</f>
        <v>0.000299999999999967</v>
      </c>
      <c r="J96" s="62" t="n">
        <f aca="false">F96-G96</f>
        <v>0.00110999999999994</v>
      </c>
      <c r="K96" s="63" t="n">
        <f aca="false">IF(J96=0,0,I96/J96)</f>
        <v>0.270270270270254</v>
      </c>
      <c r="L96" s="62" t="n">
        <f aca="false">MAX(F96-G96,ABS(F96-H95),ABS(G96-H95))</f>
        <v>0.00110999999999994</v>
      </c>
      <c r="M96" s="62" t="n">
        <f aca="false">AVERAGE(L83:L96)</f>
        <v>0.00176428571428571</v>
      </c>
      <c r="N96" s="62" t="n">
        <f aca="false">H96*0.0909090909090909+N95*(1-0.0909090909090909)</f>
        <v>1.05873782677588</v>
      </c>
      <c r="O96" s="62" t="n">
        <f aca="false">AVERAGE(I83:I96)</f>
        <v>0.000748571428571368</v>
      </c>
      <c r="P96" s="62" t="n">
        <f aca="false">AVERAGE(J92:J96)</f>
        <v>0.001634</v>
      </c>
      <c r="Q96" s="62" t="n">
        <f aca="false">AVERAGE(J87:J91)</f>
        <v>0.00143599999999999</v>
      </c>
      <c r="R96" s="63" t="n">
        <f aca="false">IF(Q96=0,0,P96/Q96)</f>
        <v>1.13788300835655</v>
      </c>
    </row>
    <row r="97" customFormat="false" ht="15" hidden="false" customHeight="true" outlineLevel="0" collapsed="false">
      <c r="A97" s="60" t="n">
        <v>96</v>
      </c>
      <c r="B97" s="60" t="s">
        <v>209</v>
      </c>
      <c r="C97" s="60" t="s">
        <v>256</v>
      </c>
      <c r="D97" s="60" t="s">
        <v>252</v>
      </c>
      <c r="E97" s="61" t="n">
        <v>1.05912</v>
      </c>
      <c r="F97" s="61" t="n">
        <v>1.05949</v>
      </c>
      <c r="G97" s="61" t="n">
        <v>1.0582</v>
      </c>
      <c r="H97" s="61" t="n">
        <v>1.05949</v>
      </c>
      <c r="I97" s="62" t="n">
        <f aca="false">ABS(H97-E97)</f>
        <v>0.000369999999999981</v>
      </c>
      <c r="J97" s="62" t="n">
        <f aca="false">F97-G97</f>
        <v>0.00129000000000001</v>
      </c>
      <c r="K97" s="63" t="n">
        <f aca="false">IF(J97=0,0,I97/J97)</f>
        <v>0.286821705426339</v>
      </c>
      <c r="L97" s="62" t="n">
        <f aca="false">MAX(F97-G97,ABS(F97-H96),ABS(G97-H96))</f>
        <v>0.00129000000000001</v>
      </c>
      <c r="M97" s="62" t="n">
        <f aca="false">AVERAGE(L84:L97)</f>
        <v>0.00178857142857143</v>
      </c>
      <c r="N97" s="62" t="n">
        <f aca="false">H97*0.0909090909090909+N96*(1-0.0909090909090909)</f>
        <v>1.05880620615989</v>
      </c>
      <c r="O97" s="62" t="n">
        <f aca="false">AVERAGE(I84:I97)</f>
        <v>0.000768571428571373</v>
      </c>
      <c r="P97" s="62" t="n">
        <f aca="false">AVERAGE(J93:J97)</f>
        <v>0.00152600000000001</v>
      </c>
      <c r="Q97" s="62" t="n">
        <f aca="false">AVERAGE(J88:J92)</f>
        <v>0.00144000000000002</v>
      </c>
      <c r="R97" s="63" t="n">
        <f aca="false">IF(Q97=0,0,P97/Q97)</f>
        <v>1.05972222222221</v>
      </c>
    </row>
    <row r="98" customFormat="false" ht="15" hidden="false" customHeight="true" outlineLevel="0" collapsed="false">
      <c r="A98" s="60" t="n">
        <v>97</v>
      </c>
      <c r="B98" s="60" t="s">
        <v>209</v>
      </c>
      <c r="C98" s="60" t="s">
        <v>257</v>
      </c>
      <c r="D98" s="60" t="s">
        <v>258</v>
      </c>
      <c r="E98" s="61" t="n">
        <v>1.05949</v>
      </c>
      <c r="F98" s="61" t="n">
        <v>1.05972</v>
      </c>
      <c r="G98" s="61" t="n">
        <v>1.05779</v>
      </c>
      <c r="H98" s="61" t="n">
        <v>1.05888</v>
      </c>
      <c r="I98" s="62" t="n">
        <f aca="false">ABS(H98-E98)</f>
        <v>0.000609999999999999</v>
      </c>
      <c r="J98" s="62" t="n">
        <f aca="false">F98-G98</f>
        <v>0.00192999999999999</v>
      </c>
      <c r="K98" s="63" t="n">
        <f aca="false">IF(J98=0,0,I98/J98)</f>
        <v>0.316062176165805</v>
      </c>
      <c r="L98" s="62" t="n">
        <f aca="false">MAX(F98-G98,ABS(F98-H97),ABS(G98-H97))</f>
        <v>0.00192999999999999</v>
      </c>
      <c r="M98" s="62" t="n">
        <f aca="false">AVERAGE(L85:L98)</f>
        <v>0.00180071428571428</v>
      </c>
      <c r="N98" s="62" t="n">
        <f aca="false">H98*0.0909090909090909+N97*(1-0.0909090909090909)</f>
        <v>1.05881291469081</v>
      </c>
      <c r="O98" s="62" t="n">
        <f aca="false">AVERAGE(I85:I98)</f>
        <v>0.000810714285714236</v>
      </c>
      <c r="P98" s="62" t="n">
        <f aca="false">AVERAGE(J94:J98)</f>
        <v>0.001444</v>
      </c>
      <c r="Q98" s="62" t="n">
        <f aca="false">AVERAGE(J89:J93)</f>
        <v>0.00188600000000001</v>
      </c>
      <c r="R98" s="63" t="n">
        <f aca="false">IF(Q98=0,0,P98/Q98)</f>
        <v>0.765641569459169</v>
      </c>
    </row>
    <row r="99" customFormat="false" ht="15" hidden="false" customHeight="true" outlineLevel="0" collapsed="false">
      <c r="A99" s="60" t="n">
        <v>98</v>
      </c>
      <c r="B99" s="60" t="s">
        <v>209</v>
      </c>
      <c r="C99" s="60" t="s">
        <v>259</v>
      </c>
      <c r="D99" s="60" t="s">
        <v>258</v>
      </c>
      <c r="E99" s="61" t="n">
        <v>1.05888</v>
      </c>
      <c r="F99" s="61" t="n">
        <v>1.06118</v>
      </c>
      <c r="G99" s="61" t="n">
        <v>1.05833</v>
      </c>
      <c r="H99" s="61" t="n">
        <v>1.0606</v>
      </c>
      <c r="I99" s="62" t="n">
        <f aca="false">ABS(H99-E99)</f>
        <v>0.00171999999999994</v>
      </c>
      <c r="J99" s="62" t="n">
        <f aca="false">F99-G99</f>
        <v>0.00285000000000002</v>
      </c>
      <c r="K99" s="63" t="n">
        <f aca="false">IF(J99=0,0,I99/J99)</f>
        <v>0.603508771929801</v>
      </c>
      <c r="L99" s="62" t="n">
        <f aca="false">MAX(F99-G99,ABS(F99-H98),ABS(G99-H98))</f>
        <v>0.00285000000000002</v>
      </c>
      <c r="M99" s="62" t="n">
        <f aca="false">AVERAGE(L86:L99)</f>
        <v>0.00168714285714286</v>
      </c>
      <c r="N99" s="62" t="n">
        <f aca="false">H99*0.0909090909090909+N98*(1-0.0909090909090909)</f>
        <v>1.05897537699164</v>
      </c>
      <c r="O99" s="62" t="n">
        <f aca="false">AVERAGE(I86:I99)</f>
        <v>0.000778571428571375</v>
      </c>
      <c r="P99" s="62" t="n">
        <f aca="false">AVERAGE(J95:J99)</f>
        <v>0.00158800000000001</v>
      </c>
      <c r="Q99" s="62" t="n">
        <f aca="false">AVERAGE(J90:J94)</f>
        <v>0.00204400000000002</v>
      </c>
      <c r="R99" s="63" t="n">
        <f aca="false">IF(Q99=0,0,P99/Q99)</f>
        <v>0.776908023483363</v>
      </c>
    </row>
    <row r="100" customFormat="false" ht="15" hidden="false" customHeight="true" outlineLevel="0" collapsed="false">
      <c r="A100" s="60" t="n">
        <v>99</v>
      </c>
      <c r="B100" s="60" t="s">
        <v>209</v>
      </c>
      <c r="C100" s="60" t="s">
        <v>118</v>
      </c>
      <c r="D100" s="60" t="s">
        <v>260</v>
      </c>
      <c r="E100" s="61" t="n">
        <v>1.0606</v>
      </c>
      <c r="F100" s="61" t="n">
        <v>1.0614</v>
      </c>
      <c r="G100" s="61" t="n">
        <v>1.06047</v>
      </c>
      <c r="H100" s="61" t="n">
        <v>1.06134</v>
      </c>
      <c r="I100" s="62" t="n">
        <f aca="false">ABS(H100-E100)</f>
        <v>0.000739999999999963</v>
      </c>
      <c r="J100" s="62" t="n">
        <f aca="false">F100-G100</f>
        <v>0.000929999999999875</v>
      </c>
      <c r="K100" s="63" t="n">
        <f aca="false">IF(J100=0,0,I100/J100)</f>
        <v>0.79569892473125</v>
      </c>
      <c r="L100" s="62" t="n">
        <f aca="false">MAX(F100-G100,ABS(F100-H99),ABS(G100-H99))</f>
        <v>0.000929999999999875</v>
      </c>
      <c r="M100" s="62" t="n">
        <f aca="false">AVERAGE(L87:L100)</f>
        <v>0.00159642857142856</v>
      </c>
      <c r="N100" s="62" t="n">
        <f aca="false">H100*0.0909090909090909+N99*(1-0.0909090909090909)</f>
        <v>1.05919034271968</v>
      </c>
      <c r="O100" s="62" t="n">
        <f aca="false">AVERAGE(I87:I100)</f>
        <v>0.000726428571428525</v>
      </c>
      <c r="P100" s="62" t="n">
        <f aca="false">AVERAGE(J96:J100)</f>
        <v>0.00162199999999997</v>
      </c>
      <c r="Q100" s="62" t="n">
        <f aca="false">AVERAGE(J91:J95)</f>
        <v>0.00182200000000003</v>
      </c>
      <c r="R100" s="63" t="n">
        <f aca="false">IF(Q100=0,0,P100/Q100)</f>
        <v>0.890230515916541</v>
      </c>
    </row>
    <row r="101" customFormat="false" ht="15" hidden="false" customHeight="true" outlineLevel="0" collapsed="false">
      <c r="A101" s="60" t="n">
        <v>100</v>
      </c>
      <c r="B101" s="60" t="s">
        <v>209</v>
      </c>
      <c r="C101" s="60" t="s">
        <v>261</v>
      </c>
      <c r="D101" s="60" t="s">
        <v>260</v>
      </c>
      <c r="E101" s="61" t="n">
        <v>1.06134</v>
      </c>
      <c r="F101" s="61" t="n">
        <v>1.06146</v>
      </c>
      <c r="G101" s="61" t="n">
        <v>1.06103</v>
      </c>
      <c r="H101" s="61" t="n">
        <v>1.06106</v>
      </c>
      <c r="I101" s="62" t="n">
        <f aca="false">ABS(H101-E101)</f>
        <v>0.000280000000000058</v>
      </c>
      <c r="J101" s="62" t="n">
        <f aca="false">F101-G101</f>
        <v>0.000430000000000153</v>
      </c>
      <c r="K101" s="63" t="n">
        <f aca="false">IF(J101=0,0,I101/J101)</f>
        <v>0.651162790697578</v>
      </c>
      <c r="L101" s="62" t="n">
        <f aca="false">MAX(F101-G101,ABS(F101-H100),ABS(G101-H100))</f>
        <v>0.000430000000000153</v>
      </c>
      <c r="M101" s="62" t="n">
        <f aca="false">AVERAGE(L88:L101)</f>
        <v>0.00149785714285715</v>
      </c>
      <c r="N101" s="62" t="n">
        <f aca="false">H101*0.0909090909090909+N100*(1-0.0909090909090909)</f>
        <v>1.05936031156334</v>
      </c>
      <c r="O101" s="62" t="n">
        <f aca="false">AVERAGE(I88:I101)</f>
        <v>0.00067214285714282</v>
      </c>
      <c r="P101" s="62" t="n">
        <f aca="false">AVERAGE(J97:J101)</f>
        <v>0.00148600000000001</v>
      </c>
      <c r="Q101" s="62" t="n">
        <f aca="false">AVERAGE(J92:J96)</f>
        <v>0.001634</v>
      </c>
      <c r="R101" s="63" t="n">
        <f aca="false">IF(Q101=0,0,P101/Q101)</f>
        <v>0.909424724602208</v>
      </c>
    </row>
    <row r="102" customFormat="false" ht="15" hidden="false" customHeight="true" outlineLevel="0" collapsed="false">
      <c r="A102" s="60" t="n">
        <v>101</v>
      </c>
      <c r="B102" s="60" t="s">
        <v>209</v>
      </c>
      <c r="C102" s="60" t="s">
        <v>262</v>
      </c>
      <c r="D102" s="60" t="s">
        <v>260</v>
      </c>
      <c r="E102" s="61" t="n">
        <v>1.06106</v>
      </c>
      <c r="F102" s="61" t="n">
        <v>1.06306</v>
      </c>
      <c r="G102" s="61" t="n">
        <v>1.06103</v>
      </c>
      <c r="H102" s="61" t="n">
        <v>1.06272</v>
      </c>
      <c r="I102" s="62" t="n">
        <f aca="false">ABS(H102-E102)</f>
        <v>0.00166000000000022</v>
      </c>
      <c r="J102" s="62" t="n">
        <f aca="false">F102-G102</f>
        <v>0.00202999999999998</v>
      </c>
      <c r="K102" s="63" t="n">
        <f aca="false">IF(J102=0,0,I102/J102)</f>
        <v>0.8177339901479</v>
      </c>
      <c r="L102" s="62" t="n">
        <f aca="false">MAX(F102-G102,ABS(F102-H101),ABS(G102-H101))</f>
        <v>0.00202999999999998</v>
      </c>
      <c r="M102" s="62" t="n">
        <f aca="false">AVERAGE(L89:L102)</f>
        <v>0.00163500000000001</v>
      </c>
      <c r="N102" s="62" t="n">
        <f aca="false">H102*0.0909090909090909+N101*(1-0.0909090909090909)</f>
        <v>1.05966573778486</v>
      </c>
      <c r="O102" s="62" t="n">
        <f aca="false">AVERAGE(I89:I102)</f>
        <v>0.000786428571428553</v>
      </c>
      <c r="P102" s="62" t="n">
        <f aca="false">AVERAGE(J98:J102)</f>
        <v>0.001634</v>
      </c>
      <c r="Q102" s="62" t="n">
        <f aca="false">AVERAGE(J93:J97)</f>
        <v>0.00152600000000001</v>
      </c>
      <c r="R102" s="63" t="n">
        <f aca="false">IF(Q102=0,0,P102/Q102)</f>
        <v>1.07077326343381</v>
      </c>
    </row>
    <row r="103" customFormat="false" ht="15" hidden="false" customHeight="true" outlineLevel="0" collapsed="false">
      <c r="A103" s="60" t="n">
        <v>102</v>
      </c>
      <c r="B103" s="60" t="s">
        <v>209</v>
      </c>
      <c r="C103" s="60" t="s">
        <v>263</v>
      </c>
      <c r="D103" s="60" t="s">
        <v>260</v>
      </c>
      <c r="E103" s="61" t="n">
        <v>1.06272</v>
      </c>
      <c r="F103" s="61" t="n">
        <v>1.0631</v>
      </c>
      <c r="G103" s="61" t="n">
        <v>1.06112</v>
      </c>
      <c r="H103" s="61" t="n">
        <v>1.06209</v>
      </c>
      <c r="I103" s="62" t="n">
        <f aca="false">ABS(H103-E103)</f>
        <v>0.000630000000000131</v>
      </c>
      <c r="J103" s="62" t="n">
        <f aca="false">F103-G103</f>
        <v>0.00197999999999987</v>
      </c>
      <c r="K103" s="63" t="n">
        <f aca="false">IF(J103=0,0,I103/J103)</f>
        <v>0.318181818181905</v>
      </c>
      <c r="L103" s="62" t="n">
        <f aca="false">MAX(F103-G103,ABS(F103-H102),ABS(G103-H102))</f>
        <v>0.00197999999999987</v>
      </c>
      <c r="M103" s="62" t="n">
        <f aca="false">AVERAGE(L90:L103)</f>
        <v>0.00168071428571429</v>
      </c>
      <c r="N103" s="62" t="n">
        <f aca="false">H103*0.0909090909090909+N102*(1-0.0909090909090909)</f>
        <v>1.05988612525896</v>
      </c>
      <c r="O103" s="62" t="n">
        <f aca="false">AVERAGE(I90:I103)</f>
        <v>0.00076857142857142</v>
      </c>
      <c r="P103" s="62" t="n">
        <f aca="false">AVERAGE(J99:J103)</f>
        <v>0.00164399999999998</v>
      </c>
      <c r="Q103" s="62" t="n">
        <f aca="false">AVERAGE(J94:J98)</f>
        <v>0.001444</v>
      </c>
      <c r="R103" s="63" t="n">
        <f aca="false">IF(Q103=0,0,P103/Q103)</f>
        <v>1.13850415512464</v>
      </c>
    </row>
    <row r="104" customFormat="false" ht="15" hidden="false" customHeight="true" outlineLevel="0" collapsed="false">
      <c r="A104" s="60" t="n">
        <v>103</v>
      </c>
      <c r="B104" s="60" t="s">
        <v>209</v>
      </c>
      <c r="C104" s="60" t="s">
        <v>264</v>
      </c>
      <c r="D104" s="60" t="s">
        <v>260</v>
      </c>
      <c r="E104" s="61" t="n">
        <v>1.06209</v>
      </c>
      <c r="F104" s="61" t="n">
        <v>1.06268</v>
      </c>
      <c r="G104" s="61" t="n">
        <v>1.06188</v>
      </c>
      <c r="H104" s="61" t="n">
        <v>1.06264</v>
      </c>
      <c r="I104" s="62" t="n">
        <f aca="false">ABS(H104-E104)</f>
        <v>0.00055000000000005</v>
      </c>
      <c r="J104" s="62" t="n">
        <f aca="false">F104-G104</f>
        <v>0.000800000000000134</v>
      </c>
      <c r="K104" s="63" t="n">
        <f aca="false">IF(J104=0,0,I104/J104)</f>
        <v>0.687499999999948</v>
      </c>
      <c r="L104" s="62" t="n">
        <f aca="false">MAX(F104-G104,ABS(F104-H103),ABS(G104-H103))</f>
        <v>0.000800000000000134</v>
      </c>
      <c r="M104" s="62" t="n">
        <f aca="false">AVERAGE(L91:L104)</f>
        <v>0.00160428571428572</v>
      </c>
      <c r="N104" s="62" t="n">
        <f aca="false">H104*0.0909090909090909+N103*(1-0.0909090909090909)</f>
        <v>1.06013647750815</v>
      </c>
      <c r="O104" s="62" t="n">
        <f aca="false">AVERAGE(I91:I104)</f>
        <v>0.000725714285714282</v>
      </c>
      <c r="P104" s="62" t="n">
        <f aca="false">AVERAGE(J100:J104)</f>
        <v>0.001234</v>
      </c>
      <c r="Q104" s="62" t="n">
        <f aca="false">AVERAGE(J95:J99)</f>
        <v>0.00158800000000001</v>
      </c>
      <c r="R104" s="63" t="n">
        <f aca="false">IF(Q104=0,0,P104/Q104)</f>
        <v>0.777078085642313</v>
      </c>
    </row>
    <row r="105" customFormat="false" ht="15" hidden="false" customHeight="true" outlineLevel="0" collapsed="false">
      <c r="A105" s="60" t="n">
        <v>104</v>
      </c>
      <c r="B105" s="60" t="s">
        <v>209</v>
      </c>
      <c r="C105" s="60" t="s">
        <v>265</v>
      </c>
      <c r="D105" s="60" t="s">
        <v>258</v>
      </c>
      <c r="E105" s="61" t="n">
        <v>1.06264</v>
      </c>
      <c r="F105" s="61" t="n">
        <v>1.06268</v>
      </c>
      <c r="G105" s="61" t="n">
        <v>1.0609</v>
      </c>
      <c r="H105" s="61" t="n">
        <v>1.06142</v>
      </c>
      <c r="I105" s="62" t="n">
        <f aca="false">ABS(H105-E105)</f>
        <v>0.00122</v>
      </c>
      <c r="J105" s="62" t="n">
        <f aca="false">F105-G105</f>
        <v>0.00178000000000011</v>
      </c>
      <c r="K105" s="63" t="n">
        <f aca="false">IF(J105=0,0,I105/J105)</f>
        <v>0.685393258426921</v>
      </c>
      <c r="L105" s="62" t="n">
        <f aca="false">MAX(F105-G105,ABS(F105-H104),ABS(G105-H104))</f>
        <v>0.00178000000000011</v>
      </c>
      <c r="M105" s="62" t="n">
        <f aca="false">AVERAGE(L92:L105)</f>
        <v>0.00158500000000001</v>
      </c>
      <c r="N105" s="62" t="n">
        <f aca="false">H105*0.0909090909090909+N104*(1-0.0909090909090909)</f>
        <v>1.06025316137104</v>
      </c>
      <c r="O105" s="62" t="n">
        <f aca="false">AVERAGE(I92:I105)</f>
        <v>0.000726428571428572</v>
      </c>
      <c r="P105" s="62" t="n">
        <f aca="false">AVERAGE(J101:J105)</f>
        <v>0.00140400000000005</v>
      </c>
      <c r="Q105" s="62" t="n">
        <f aca="false">AVERAGE(J96:J100)</f>
        <v>0.00162199999999997</v>
      </c>
      <c r="R105" s="63" t="n">
        <f aca="false">IF(Q105=0,0,P105/Q105)</f>
        <v>0.865598027127052</v>
      </c>
    </row>
    <row r="106" customFormat="false" ht="15" hidden="false" customHeight="true" outlineLevel="0" collapsed="false">
      <c r="A106" s="60" t="n">
        <v>105</v>
      </c>
      <c r="B106" s="60" t="s">
        <v>268</v>
      </c>
      <c r="C106" s="60" t="s">
        <v>251</v>
      </c>
      <c r="D106" s="60" t="s">
        <v>252</v>
      </c>
      <c r="E106" s="61" t="n">
        <v>1.06142</v>
      </c>
      <c r="F106" s="61" t="n">
        <v>1.06156</v>
      </c>
      <c r="G106" s="61" t="n">
        <v>1.06086</v>
      </c>
      <c r="H106" s="61" t="n">
        <v>1.06099</v>
      </c>
      <c r="I106" s="62" t="n">
        <f aca="false">ABS(H106-E106)</f>
        <v>0.00042999999999993</v>
      </c>
      <c r="J106" s="62" t="n">
        <f aca="false">F106-G106</f>
        <v>0.000700000000000145</v>
      </c>
      <c r="K106" s="63" t="n">
        <f aca="false">IF(J106=0,0,I106/J106)</f>
        <v>0.614285714285488</v>
      </c>
      <c r="L106" s="62" t="n">
        <f aca="false">MAX(F106-G106,ABS(F106-H105),ABS(G106-H105))</f>
        <v>0.000700000000000145</v>
      </c>
      <c r="M106" s="62" t="n">
        <f aca="false">AVERAGE(L93:L106)</f>
        <v>0.00150428571428574</v>
      </c>
      <c r="N106" s="62" t="n">
        <f aca="false">H106*0.0909090909090909+N105*(1-0.0909090909090909)</f>
        <v>1.06032014670095</v>
      </c>
      <c r="O106" s="62" t="n">
        <f aca="false">AVERAGE(I93:I106)</f>
        <v>0.000756428571428579</v>
      </c>
      <c r="P106" s="62" t="n">
        <f aca="false">AVERAGE(J102:J106)</f>
        <v>0.00145800000000005</v>
      </c>
      <c r="Q106" s="62" t="n">
        <f aca="false">AVERAGE(J97:J101)</f>
        <v>0.00148600000000001</v>
      </c>
      <c r="R106" s="63" t="n">
        <f aca="false">IF(Q106=0,0,P106/Q106)</f>
        <v>0.981157469717388</v>
      </c>
    </row>
    <row r="107" customFormat="false" ht="15" hidden="false" customHeight="true" outlineLevel="0" collapsed="false">
      <c r="A107" s="60" t="n">
        <v>106</v>
      </c>
      <c r="B107" s="60" t="s">
        <v>268</v>
      </c>
      <c r="C107" s="60" t="s">
        <v>253</v>
      </c>
      <c r="D107" s="60" t="s">
        <v>252</v>
      </c>
      <c r="E107" s="61" t="n">
        <v>1.06099</v>
      </c>
      <c r="F107" s="61" t="n">
        <v>1.06207</v>
      </c>
      <c r="G107" s="61" t="n">
        <v>1.06085</v>
      </c>
      <c r="H107" s="61" t="n">
        <v>1.06111</v>
      </c>
      <c r="I107" s="62" t="n">
        <f aca="false">ABS(H107-E107)</f>
        <v>0.000119999999999898</v>
      </c>
      <c r="J107" s="62" t="n">
        <f aca="false">F107-G107</f>
        <v>0.00122</v>
      </c>
      <c r="K107" s="63" t="n">
        <f aca="false">IF(J107=0,0,I107/J107)</f>
        <v>0.0983606557376214</v>
      </c>
      <c r="L107" s="62" t="n">
        <f aca="false">MAX(F107-G107,ABS(F107-H106),ABS(G107-H106))</f>
        <v>0.00122</v>
      </c>
      <c r="M107" s="62" t="n">
        <f aca="false">AVERAGE(L94:L107)</f>
        <v>0.00142428571428574</v>
      </c>
      <c r="N107" s="62" t="n">
        <f aca="false">H107*0.0909090909090909+N106*(1-0.0909090909090909)</f>
        <v>1.06039195154632</v>
      </c>
      <c r="O107" s="62" t="n">
        <f aca="false">AVERAGE(I94:I107)</f>
        <v>0.000650000000000008</v>
      </c>
      <c r="P107" s="62" t="n">
        <f aca="false">AVERAGE(J103:J107)</f>
        <v>0.00129600000000005</v>
      </c>
      <c r="Q107" s="62" t="n">
        <f aca="false">AVERAGE(J98:J102)</f>
        <v>0.001634</v>
      </c>
      <c r="R107" s="63" t="n">
        <f aca="false">IF(Q107=0,0,P107/Q107)</f>
        <v>0.793145654834793</v>
      </c>
    </row>
    <row r="108" customFormat="false" ht="15" hidden="false" customHeight="true" outlineLevel="0" collapsed="false">
      <c r="A108" s="60" t="n">
        <v>107</v>
      </c>
      <c r="B108" s="60" t="s">
        <v>268</v>
      </c>
      <c r="C108" s="60" t="s">
        <v>254</v>
      </c>
      <c r="D108" s="60" t="s">
        <v>252</v>
      </c>
      <c r="E108" s="61" t="n">
        <v>1.06111</v>
      </c>
      <c r="F108" s="61" t="n">
        <v>1.06164</v>
      </c>
      <c r="G108" s="61" t="n">
        <v>1.05971</v>
      </c>
      <c r="H108" s="61" t="n">
        <v>1.06017</v>
      </c>
      <c r="I108" s="62" t="n">
        <f aca="false">ABS(H108-E108)</f>
        <v>0.000939999999999941</v>
      </c>
      <c r="J108" s="62" t="n">
        <f aca="false">F108-G108</f>
        <v>0.00192999999999999</v>
      </c>
      <c r="K108" s="63" t="n">
        <f aca="false">IF(J108=0,0,I108/J108)</f>
        <v>0.487046632124325</v>
      </c>
      <c r="L108" s="62" t="n">
        <f aca="false">MAX(F108-G108,ABS(F108-H107),ABS(G108-H107))</f>
        <v>0.00192999999999999</v>
      </c>
      <c r="M108" s="62" t="n">
        <f aca="false">AVERAGE(L95:L108)</f>
        <v>0.00141000000000002</v>
      </c>
      <c r="N108" s="62" t="n">
        <f aca="false">H108*0.0909090909090909+N107*(1-0.0909090909090909)</f>
        <v>1.06037177413301</v>
      </c>
      <c r="O108" s="62" t="n">
        <f aca="false">AVERAGE(I95:I108)</f>
        <v>0.000687857142857145</v>
      </c>
      <c r="P108" s="62" t="n">
        <f aca="false">AVERAGE(J104:J108)</f>
        <v>0.00128600000000008</v>
      </c>
      <c r="Q108" s="62" t="n">
        <f aca="false">AVERAGE(J99:J103)</f>
        <v>0.00164399999999998</v>
      </c>
      <c r="R108" s="63" t="n">
        <f aca="false">IF(Q108=0,0,P108/Q108)</f>
        <v>0.782238442822441</v>
      </c>
    </row>
    <row r="109" customFormat="false" ht="15" hidden="false" customHeight="true" outlineLevel="0" collapsed="false">
      <c r="A109" s="60" t="n">
        <v>108</v>
      </c>
      <c r="B109" s="60" t="s">
        <v>268</v>
      </c>
      <c r="C109" s="60" t="s">
        <v>255</v>
      </c>
      <c r="D109" s="60" t="s">
        <v>252</v>
      </c>
      <c r="E109" s="61" t="n">
        <v>1.06017</v>
      </c>
      <c r="F109" s="61" t="n">
        <v>1.06172</v>
      </c>
      <c r="G109" s="61" t="n">
        <v>1.05998</v>
      </c>
      <c r="H109" s="61" t="n">
        <v>1.06081</v>
      </c>
      <c r="I109" s="62" t="n">
        <f aca="false">ABS(H109-E109)</f>
        <v>0.000639999999999974</v>
      </c>
      <c r="J109" s="62" t="n">
        <f aca="false">F109-G109</f>
        <v>0.00174000000000007</v>
      </c>
      <c r="K109" s="63" t="n">
        <f aca="false">IF(J109=0,0,I109/J109)</f>
        <v>0.367816091953992</v>
      </c>
      <c r="L109" s="62" t="n">
        <f aca="false">MAX(F109-G109,ABS(F109-H108),ABS(G109-H108))</f>
        <v>0.00174000000000007</v>
      </c>
      <c r="M109" s="62" t="n">
        <f aca="false">AVERAGE(L96:L109)</f>
        <v>0.00148000000000002</v>
      </c>
      <c r="N109" s="62" t="n">
        <f aca="false">H109*0.0909090909090909+N108*(1-0.0909090909090909)</f>
        <v>1.06041161284819</v>
      </c>
      <c r="O109" s="62" t="n">
        <f aca="false">AVERAGE(I96:I109)</f>
        <v>0.000729285714285718</v>
      </c>
      <c r="P109" s="62" t="n">
        <f aca="false">AVERAGE(J105:J109)</f>
        <v>0.00147400000000006</v>
      </c>
      <c r="Q109" s="62" t="n">
        <f aca="false">AVERAGE(J100:J104)</f>
        <v>0.001234</v>
      </c>
      <c r="R109" s="63" t="n">
        <f aca="false">IF(Q109=0,0,P109/Q109)</f>
        <v>1.19448946515402</v>
      </c>
    </row>
    <row r="110" customFormat="false" ht="15" hidden="false" customHeight="true" outlineLevel="0" collapsed="false">
      <c r="A110" s="60" t="n">
        <v>109</v>
      </c>
      <c r="B110" s="60" t="s">
        <v>268</v>
      </c>
      <c r="C110" s="60" t="s">
        <v>256</v>
      </c>
      <c r="D110" s="60" t="s">
        <v>252</v>
      </c>
      <c r="E110" s="61" t="n">
        <v>1.06081</v>
      </c>
      <c r="F110" s="61" t="n">
        <v>1.06092</v>
      </c>
      <c r="G110" s="61" t="n">
        <v>1.06014</v>
      </c>
      <c r="H110" s="61" t="n">
        <v>1.06015</v>
      </c>
      <c r="I110" s="62" t="n">
        <f aca="false">ABS(H110-E110)</f>
        <v>0.000660000000000105</v>
      </c>
      <c r="J110" s="62" t="n">
        <f aca="false">F110-G110</f>
        <v>0.000780000000000003</v>
      </c>
      <c r="K110" s="63" t="n">
        <f aca="false">IF(J110=0,0,I110/J110)</f>
        <v>0.846153846153978</v>
      </c>
      <c r="L110" s="62" t="n">
        <f aca="false">MAX(F110-G110,ABS(F110-H109),ABS(G110-H109))</f>
        <v>0.000780000000000003</v>
      </c>
      <c r="M110" s="62" t="n">
        <f aca="false">AVERAGE(L97:L110)</f>
        <v>0.0014564285714286</v>
      </c>
      <c r="N110" s="62" t="n">
        <f aca="false">H110*0.0909090909090909+N109*(1-0.0909090909090909)</f>
        <v>1.06038782986199</v>
      </c>
      <c r="O110" s="62" t="n">
        <f aca="false">AVERAGE(I97:I110)</f>
        <v>0.000755000000000014</v>
      </c>
      <c r="P110" s="62" t="n">
        <f aca="false">AVERAGE(J106:J110)</f>
        <v>0.00127400000000004</v>
      </c>
      <c r="Q110" s="62" t="n">
        <f aca="false">AVERAGE(J101:J105)</f>
        <v>0.00140400000000005</v>
      </c>
      <c r="R110" s="63" t="n">
        <f aca="false">IF(Q110=0,0,P110/Q110)</f>
        <v>0.907407407407405</v>
      </c>
    </row>
    <row r="111" customFormat="false" ht="15" hidden="false" customHeight="true" outlineLevel="0" collapsed="false">
      <c r="A111" s="60" t="n">
        <v>110</v>
      </c>
      <c r="B111" s="60" t="s">
        <v>268</v>
      </c>
      <c r="C111" s="60" t="s">
        <v>257</v>
      </c>
      <c r="D111" s="60" t="s">
        <v>258</v>
      </c>
      <c r="E111" s="61" t="n">
        <v>1.06015</v>
      </c>
      <c r="F111" s="61" t="n">
        <v>1.06042</v>
      </c>
      <c r="G111" s="61" t="n">
        <v>1.05784</v>
      </c>
      <c r="H111" s="61" t="n">
        <v>1.05905</v>
      </c>
      <c r="I111" s="62" t="n">
        <f aca="false">ABS(H111-E111)</f>
        <v>0.00109999999999988</v>
      </c>
      <c r="J111" s="62" t="n">
        <f aca="false">F111-G111</f>
        <v>0.00258000000000003</v>
      </c>
      <c r="K111" s="63" t="n">
        <f aca="false">IF(J111=0,0,I111/J111)</f>
        <v>0.426356589147235</v>
      </c>
      <c r="L111" s="62" t="n">
        <f aca="false">MAX(F111-G111,ABS(F111-H110),ABS(G111-H110))</f>
        <v>0.00258000000000003</v>
      </c>
      <c r="M111" s="62" t="n">
        <f aca="false">AVERAGE(L98:L111)</f>
        <v>0.00154857142857145</v>
      </c>
      <c r="N111" s="62" t="n">
        <f aca="false">H111*0.0909090909090909+N110*(1-0.0909090909090909)</f>
        <v>1.06026620896545</v>
      </c>
      <c r="O111" s="62" t="n">
        <f aca="false">AVERAGE(I98:I111)</f>
        <v>0.000807142857142863</v>
      </c>
      <c r="P111" s="62" t="n">
        <f aca="false">AVERAGE(J107:J111)</f>
        <v>0.00165000000000002</v>
      </c>
      <c r="Q111" s="62" t="n">
        <f aca="false">AVERAGE(J102:J106)</f>
        <v>0.00145800000000005</v>
      </c>
      <c r="R111" s="63" t="n">
        <f aca="false">IF(Q111=0,0,P111/Q111)</f>
        <v>1.13168724279833</v>
      </c>
    </row>
    <row r="112" customFormat="false" ht="15" hidden="false" customHeight="true" outlineLevel="0" collapsed="false">
      <c r="A112" s="60" t="n">
        <v>111</v>
      </c>
      <c r="B112" s="60" t="s">
        <v>268</v>
      </c>
      <c r="C112" s="60" t="s">
        <v>259</v>
      </c>
      <c r="D112" s="60" t="s">
        <v>258</v>
      </c>
      <c r="E112" s="61" t="n">
        <v>1.05905</v>
      </c>
      <c r="F112" s="61" t="n">
        <v>1.05917</v>
      </c>
      <c r="G112" s="61" t="n">
        <v>1.05814</v>
      </c>
      <c r="H112" s="61" t="n">
        <v>1.05877</v>
      </c>
      <c r="I112" s="62" t="n">
        <f aca="false">ABS(H112-E112)</f>
        <v>0.000280000000000058</v>
      </c>
      <c r="J112" s="62" t="n">
        <f aca="false">F112-G112</f>
        <v>0.00102999999999986</v>
      </c>
      <c r="K112" s="63" t="n">
        <f aca="false">IF(J112=0,0,I112/J112)</f>
        <v>0.271844660194267</v>
      </c>
      <c r="L112" s="62" t="n">
        <f aca="false">MAX(F112-G112,ABS(F112-H111),ABS(G112-H111))</f>
        <v>0.00102999999999986</v>
      </c>
      <c r="M112" s="62" t="n">
        <f aca="false">AVERAGE(L99:L112)</f>
        <v>0.00148428571428573</v>
      </c>
      <c r="N112" s="62" t="n">
        <f aca="false">H112*0.0909090909090909+N111*(1-0.0909090909090909)</f>
        <v>1.06013018996859</v>
      </c>
      <c r="O112" s="62" t="n">
        <f aca="false">AVERAGE(I99:I112)</f>
        <v>0.000783571428571439</v>
      </c>
      <c r="P112" s="62" t="n">
        <f aca="false">AVERAGE(J108:J112)</f>
        <v>0.00161199999999999</v>
      </c>
      <c r="Q112" s="62" t="n">
        <f aca="false">AVERAGE(J103:J107)</f>
        <v>0.00129600000000005</v>
      </c>
      <c r="R112" s="63" t="n">
        <f aca="false">IF(Q112=0,0,P112/Q112)</f>
        <v>1.24382716049377</v>
      </c>
    </row>
    <row r="113" customFormat="false" ht="15" hidden="false" customHeight="true" outlineLevel="0" collapsed="false">
      <c r="A113" s="60" t="n">
        <v>112</v>
      </c>
      <c r="B113" s="60" t="s">
        <v>268</v>
      </c>
      <c r="C113" s="60" t="s">
        <v>118</v>
      </c>
      <c r="D113" s="60" t="s">
        <v>260</v>
      </c>
      <c r="E113" s="61" t="n">
        <v>1.05877</v>
      </c>
      <c r="F113" s="61" t="n">
        <v>1.05987</v>
      </c>
      <c r="G113" s="61" t="n">
        <v>1.0581</v>
      </c>
      <c r="H113" s="61" t="n">
        <v>1.05912</v>
      </c>
      <c r="I113" s="62" t="n">
        <f aca="false">ABS(H113-E113)</f>
        <v>0.000350000000000073</v>
      </c>
      <c r="J113" s="62" t="n">
        <f aca="false">F113-G113</f>
        <v>0.00177000000000005</v>
      </c>
      <c r="K113" s="63" t="n">
        <f aca="false">IF(J113=0,0,I113/J113)</f>
        <v>0.197740112994386</v>
      </c>
      <c r="L113" s="62" t="n">
        <f aca="false">MAX(F113-G113,ABS(F113-H112),ABS(G113-H112))</f>
        <v>0.00177000000000005</v>
      </c>
      <c r="M113" s="62" t="n">
        <f aca="false">AVERAGE(L100:L113)</f>
        <v>0.00140714285714288</v>
      </c>
      <c r="N113" s="62" t="n">
        <f aca="false">H113*0.0909090909090909+N112*(1-0.0909090909090909)</f>
        <v>1.0600383545169</v>
      </c>
      <c r="O113" s="62" t="n">
        <f aca="false">AVERAGE(I100:I113)</f>
        <v>0.000685714285714305</v>
      </c>
      <c r="P113" s="62" t="n">
        <f aca="false">AVERAGE(J109:J113)</f>
        <v>0.00158</v>
      </c>
      <c r="Q113" s="62" t="n">
        <f aca="false">AVERAGE(J104:J108)</f>
        <v>0.00128600000000008</v>
      </c>
      <c r="R113" s="63" t="n">
        <f aca="false">IF(Q113=0,0,P113/Q113)</f>
        <v>1.22861586314145</v>
      </c>
    </row>
    <row r="114" customFormat="false" ht="15" hidden="false" customHeight="true" outlineLevel="0" collapsed="false">
      <c r="A114" s="60" t="n">
        <v>113</v>
      </c>
      <c r="B114" s="60" t="s">
        <v>268</v>
      </c>
      <c r="C114" s="60" t="s">
        <v>261</v>
      </c>
      <c r="D114" s="60" t="s">
        <v>260</v>
      </c>
      <c r="E114" s="61" t="n">
        <v>1.05912</v>
      </c>
      <c r="F114" s="61" t="n">
        <v>1.06107</v>
      </c>
      <c r="G114" s="61" t="n">
        <v>1.05847</v>
      </c>
      <c r="H114" s="61" t="n">
        <v>1.06053</v>
      </c>
      <c r="I114" s="62" t="n">
        <f aca="false">ABS(H114-E114)</f>
        <v>0.00140999999999991</v>
      </c>
      <c r="J114" s="62" t="n">
        <f aca="false">F114-G114</f>
        <v>0.00259999999999994</v>
      </c>
      <c r="K114" s="63" t="n">
        <f aca="false">IF(J114=0,0,I114/J114)</f>
        <v>0.542307692307672</v>
      </c>
      <c r="L114" s="62" t="n">
        <f aca="false">MAX(F114-G114,ABS(F114-H113),ABS(G114-H113))</f>
        <v>0.00259999999999994</v>
      </c>
      <c r="M114" s="62" t="n">
        <f aca="false">AVERAGE(L101:L114)</f>
        <v>0.0015264285714286</v>
      </c>
      <c r="N114" s="62" t="n">
        <f aca="false">H114*0.0909090909090909+N113*(1-0.0909090909090909)</f>
        <v>1.06008304956082</v>
      </c>
      <c r="O114" s="62" t="n">
        <f aca="false">AVERAGE(I101:I114)</f>
        <v>0.000733571428571445</v>
      </c>
      <c r="P114" s="62" t="n">
        <f aca="false">AVERAGE(J110:J114)</f>
        <v>0.00175199999999998</v>
      </c>
      <c r="Q114" s="62" t="n">
        <f aca="false">AVERAGE(J105:J109)</f>
        <v>0.00147400000000006</v>
      </c>
      <c r="R114" s="63" t="n">
        <f aca="false">IF(Q114=0,0,P114/Q114)</f>
        <v>1.18860244233372</v>
      </c>
    </row>
    <row r="115" customFormat="false" ht="15" hidden="false" customHeight="true" outlineLevel="0" collapsed="false">
      <c r="A115" s="60" t="n">
        <v>114</v>
      </c>
      <c r="B115" s="60" t="s">
        <v>268</v>
      </c>
      <c r="C115" s="60" t="s">
        <v>262</v>
      </c>
      <c r="D115" s="60" t="s">
        <v>260</v>
      </c>
      <c r="E115" s="61" t="n">
        <v>1.06053</v>
      </c>
      <c r="F115" s="61" t="n">
        <v>1.06236</v>
      </c>
      <c r="G115" s="61" t="n">
        <v>1.0602</v>
      </c>
      <c r="H115" s="61" t="n">
        <v>1.0622</v>
      </c>
      <c r="I115" s="62" t="n">
        <f aca="false">ABS(H115-E115)</f>
        <v>0.00167000000000006</v>
      </c>
      <c r="J115" s="62" t="n">
        <f aca="false">F115-G115</f>
        <v>0.00215999999999994</v>
      </c>
      <c r="K115" s="63" t="n">
        <f aca="false">IF(J115=0,0,I115/J115)</f>
        <v>0.773148148148198</v>
      </c>
      <c r="L115" s="62" t="n">
        <f aca="false">MAX(F115-G115,ABS(F115-H114),ABS(G115-H114))</f>
        <v>0.00215999999999994</v>
      </c>
      <c r="M115" s="62" t="n">
        <f aca="false">AVERAGE(L102:L115)</f>
        <v>0.00165000000000001</v>
      </c>
      <c r="N115" s="62" t="n">
        <f aca="false">H115*0.0909090909090909+N114*(1-0.0909090909090909)</f>
        <v>1.06027549960074</v>
      </c>
      <c r="O115" s="62" t="n">
        <f aca="false">AVERAGE(I102:I115)</f>
        <v>0.000832857142857159</v>
      </c>
      <c r="P115" s="62" t="n">
        <f aca="false">AVERAGE(J111:J115)</f>
        <v>0.00202799999999996</v>
      </c>
      <c r="Q115" s="62" t="n">
        <f aca="false">AVERAGE(J106:J110)</f>
        <v>0.00127400000000004</v>
      </c>
      <c r="R115" s="63" t="n">
        <f aca="false">IF(Q115=0,0,P115/Q115)</f>
        <v>1.5918367346938</v>
      </c>
    </row>
    <row r="116" customFormat="false" ht="15" hidden="false" customHeight="true" outlineLevel="0" collapsed="false">
      <c r="A116" s="60" t="n">
        <v>115</v>
      </c>
      <c r="B116" s="60" t="s">
        <v>268</v>
      </c>
      <c r="C116" s="60" t="s">
        <v>263</v>
      </c>
      <c r="D116" s="60" t="s">
        <v>260</v>
      </c>
      <c r="E116" s="61" t="n">
        <v>1.0622</v>
      </c>
      <c r="F116" s="61" t="n">
        <v>1.06447</v>
      </c>
      <c r="G116" s="61" t="n">
        <v>1.06185</v>
      </c>
      <c r="H116" s="61" t="n">
        <v>1.06435</v>
      </c>
      <c r="I116" s="62" t="n">
        <f aca="false">ABS(H116-E116)</f>
        <v>0.00214999999999987</v>
      </c>
      <c r="J116" s="62" t="n">
        <f aca="false">F116-G116</f>
        <v>0.00262000000000007</v>
      </c>
      <c r="K116" s="63" t="n">
        <f aca="false">IF(J116=0,0,I116/J116)</f>
        <v>0.820610687022832</v>
      </c>
      <c r="L116" s="62" t="n">
        <f aca="false">MAX(F116-G116,ABS(F116-H115),ABS(G116-H115))</f>
        <v>0.00262000000000007</v>
      </c>
      <c r="M116" s="62" t="n">
        <f aca="false">AVERAGE(L103:L116)</f>
        <v>0.00169214285714287</v>
      </c>
      <c r="N116" s="62" t="n">
        <f aca="false">H116*0.0909090909090909+N115*(1-0.0909090909090909)</f>
        <v>1.06064590872795</v>
      </c>
      <c r="O116" s="62" t="n">
        <f aca="false">AVERAGE(I103:I116)</f>
        <v>0.000867857142857135</v>
      </c>
      <c r="P116" s="62" t="n">
        <f aca="false">AVERAGE(J112:J116)</f>
        <v>0.00203599999999997</v>
      </c>
      <c r="Q116" s="62" t="n">
        <f aca="false">AVERAGE(J107:J111)</f>
        <v>0.00165000000000002</v>
      </c>
      <c r="R116" s="63" t="n">
        <f aca="false">IF(Q116=0,0,P116/Q116)</f>
        <v>1.23393939393936</v>
      </c>
    </row>
    <row r="117" customFormat="false" ht="15" hidden="false" customHeight="true" outlineLevel="0" collapsed="false">
      <c r="A117" s="60" t="n">
        <v>116</v>
      </c>
      <c r="B117" s="60" t="s">
        <v>268</v>
      </c>
      <c r="C117" s="60" t="s">
        <v>264</v>
      </c>
      <c r="D117" s="60" t="s">
        <v>260</v>
      </c>
      <c r="E117" s="61" t="n">
        <v>1.06435</v>
      </c>
      <c r="F117" s="61" t="n">
        <v>1.06438</v>
      </c>
      <c r="G117" s="61" t="n">
        <v>1.06198</v>
      </c>
      <c r="H117" s="61" t="n">
        <v>1.06286</v>
      </c>
      <c r="I117" s="62" t="n">
        <f aca="false">ABS(H117-E117)</f>
        <v>0.00148999999999999</v>
      </c>
      <c r="J117" s="62" t="n">
        <f aca="false">F117-G117</f>
        <v>0.00240000000000018</v>
      </c>
      <c r="K117" s="63" t="n">
        <f aca="false">IF(J117=0,0,I117/J117)</f>
        <v>0.620833333333283</v>
      </c>
      <c r="L117" s="62" t="n">
        <f aca="false">MAX(F117-G117,ABS(F117-H116),ABS(G117-H116))</f>
        <v>0.00240000000000018</v>
      </c>
      <c r="M117" s="62" t="n">
        <f aca="false">AVERAGE(L104:L117)</f>
        <v>0.00172214285714289</v>
      </c>
      <c r="N117" s="62" t="n">
        <f aca="false">H117*0.0909090909090909+N116*(1-0.0909090909090909)</f>
        <v>1.06084718975268</v>
      </c>
      <c r="O117" s="62" t="n">
        <f aca="false">AVERAGE(I104:I117)</f>
        <v>0.000929285714285696</v>
      </c>
      <c r="P117" s="62" t="n">
        <f aca="false">AVERAGE(J113:J117)</f>
        <v>0.00231000000000003</v>
      </c>
      <c r="Q117" s="62" t="n">
        <f aca="false">AVERAGE(J108:J112)</f>
        <v>0.00161199999999999</v>
      </c>
      <c r="R117" s="63" t="n">
        <f aca="false">IF(Q117=0,0,P117/Q117)</f>
        <v>1.43300248138961</v>
      </c>
    </row>
    <row r="118" customFormat="false" ht="15" hidden="false" customHeight="true" outlineLevel="0" collapsed="false">
      <c r="A118" s="60" t="n">
        <v>117</v>
      </c>
      <c r="B118" s="60" t="s">
        <v>268</v>
      </c>
      <c r="C118" s="60" t="s">
        <v>265</v>
      </c>
      <c r="D118" s="60" t="s">
        <v>258</v>
      </c>
      <c r="E118" s="61" t="n">
        <v>1.06286</v>
      </c>
      <c r="F118" s="61" t="n">
        <v>1.06448</v>
      </c>
      <c r="G118" s="61" t="n">
        <v>1.06235</v>
      </c>
      <c r="H118" s="61" t="n">
        <v>1.06392</v>
      </c>
      <c r="I118" s="62" t="n">
        <f aca="false">ABS(H118-E118)</f>
        <v>0.00106000000000006</v>
      </c>
      <c r="J118" s="62" t="n">
        <f aca="false">F118-G118</f>
        <v>0.00213000000000019</v>
      </c>
      <c r="K118" s="63" t="n">
        <f aca="false">IF(J118=0,0,I118/J118)</f>
        <v>0.497652582159609</v>
      </c>
      <c r="L118" s="62" t="n">
        <f aca="false">MAX(F118-G118,ABS(F118-H117),ABS(G118-H117))</f>
        <v>0.00213000000000019</v>
      </c>
      <c r="M118" s="62" t="n">
        <f aca="false">AVERAGE(L105:L118)</f>
        <v>0.0018171428571429</v>
      </c>
      <c r="N118" s="62" t="n">
        <f aca="false">H118*0.0909090909090909+N117*(1-0.0909090909090909)</f>
        <v>1.0611265361388</v>
      </c>
      <c r="O118" s="62" t="n">
        <f aca="false">AVERAGE(I105:I118)</f>
        <v>0.000965714285714268</v>
      </c>
      <c r="P118" s="62" t="n">
        <f aca="false">AVERAGE(J114:J118)</f>
        <v>0.00238200000000006</v>
      </c>
      <c r="Q118" s="62" t="n">
        <f aca="false">AVERAGE(J109:J113)</f>
        <v>0.00158</v>
      </c>
      <c r="R118" s="63" t="n">
        <f aca="false">IF(Q118=0,0,P118/Q118)</f>
        <v>1.5075949367089</v>
      </c>
    </row>
    <row r="119" customFormat="false" ht="15" hidden="false" customHeight="true" outlineLevel="0" collapsed="false">
      <c r="A119" s="60" t="n">
        <v>118</v>
      </c>
      <c r="B119" s="60" t="s">
        <v>210</v>
      </c>
      <c r="C119" s="60" t="s">
        <v>251</v>
      </c>
      <c r="D119" s="60" t="s">
        <v>252</v>
      </c>
      <c r="E119" s="61" t="n">
        <v>1.06392</v>
      </c>
      <c r="F119" s="61" t="n">
        <v>1.06409</v>
      </c>
      <c r="G119" s="61" t="n">
        <v>1.06324</v>
      </c>
      <c r="H119" s="61" t="n">
        <v>1.06336</v>
      </c>
      <c r="I119" s="62" t="n">
        <f aca="false">ABS(H119-E119)</f>
        <v>0.000559999999999894</v>
      </c>
      <c r="J119" s="62" t="n">
        <f aca="false">F119-G119</f>
        <v>0.000850000000000017</v>
      </c>
      <c r="K119" s="63" t="n">
        <f aca="false">IF(J119=0,0,I119/J119)</f>
        <v>0.658823529411626</v>
      </c>
      <c r="L119" s="62" t="n">
        <f aca="false">MAX(F119-G119,ABS(F119-H118),ABS(G119-H118))</f>
        <v>0.000850000000000017</v>
      </c>
      <c r="M119" s="62" t="n">
        <f aca="false">AVERAGE(L106:L119)</f>
        <v>0.00175071428571432</v>
      </c>
      <c r="N119" s="62" t="n">
        <f aca="false">H119*0.0909090909090909+N118*(1-0.0909090909090909)</f>
        <v>1.061329578308</v>
      </c>
      <c r="O119" s="62" t="n">
        <f aca="false">AVERAGE(I106:I119)</f>
        <v>0.000918571428571404</v>
      </c>
      <c r="P119" s="62" t="n">
        <f aca="false">AVERAGE(J115:J119)</f>
        <v>0.00203200000000008</v>
      </c>
      <c r="Q119" s="62" t="n">
        <f aca="false">AVERAGE(J110:J114)</f>
        <v>0.00175199999999998</v>
      </c>
      <c r="R119" s="63" t="n">
        <f aca="false">IF(Q119=0,0,P119/Q119)</f>
        <v>1.15981735159823</v>
      </c>
    </row>
    <row r="120" customFormat="false" ht="15" hidden="false" customHeight="true" outlineLevel="0" collapsed="false">
      <c r="A120" s="60" t="n">
        <v>119</v>
      </c>
      <c r="B120" s="60" t="s">
        <v>210</v>
      </c>
      <c r="C120" s="60" t="s">
        <v>253</v>
      </c>
      <c r="D120" s="60" t="s">
        <v>252</v>
      </c>
      <c r="E120" s="61" t="n">
        <v>1.06336</v>
      </c>
      <c r="F120" s="61" t="n">
        <v>1.06378</v>
      </c>
      <c r="G120" s="61" t="n">
        <v>1.06318</v>
      </c>
      <c r="H120" s="61" t="n">
        <v>1.0636</v>
      </c>
      <c r="I120" s="62" t="n">
        <f aca="false">ABS(H120-E120)</f>
        <v>0.000240000000000018</v>
      </c>
      <c r="J120" s="62" t="n">
        <f aca="false">F120-G120</f>
        <v>0.000599999999999934</v>
      </c>
      <c r="K120" s="63" t="n">
        <f aca="false">IF(J120=0,0,I120/J120)</f>
        <v>0.400000000000074</v>
      </c>
      <c r="L120" s="62" t="n">
        <f aca="false">MAX(F120-G120,ABS(F120-H119),ABS(G120-H119))</f>
        <v>0.000599999999999934</v>
      </c>
      <c r="M120" s="62" t="n">
        <f aca="false">AVERAGE(L107:L120)</f>
        <v>0.00174357142857145</v>
      </c>
      <c r="N120" s="62" t="n">
        <f aca="false">H120*0.0909090909090909+N119*(1-0.0909090909090909)</f>
        <v>1.06153598028</v>
      </c>
      <c r="O120" s="62" t="n">
        <f aca="false">AVERAGE(I107:I120)</f>
        <v>0.000904999999999981</v>
      </c>
      <c r="P120" s="62" t="n">
        <f aca="false">AVERAGE(J116:J120)</f>
        <v>0.00172000000000008</v>
      </c>
      <c r="Q120" s="62" t="n">
        <f aca="false">AVERAGE(J111:J115)</f>
        <v>0.00202799999999996</v>
      </c>
      <c r="R120" s="63" t="n">
        <f aca="false">IF(Q120=0,0,P120/Q120)</f>
        <v>0.848126232741671</v>
      </c>
    </row>
    <row r="121" customFormat="false" ht="15" hidden="false" customHeight="true" outlineLevel="0" collapsed="false">
      <c r="A121" s="60" t="n">
        <v>120</v>
      </c>
      <c r="B121" s="60" t="s">
        <v>210</v>
      </c>
      <c r="C121" s="60" t="s">
        <v>254</v>
      </c>
      <c r="D121" s="60" t="s">
        <v>252</v>
      </c>
      <c r="E121" s="61" t="n">
        <v>1.0636</v>
      </c>
      <c r="F121" s="61" t="n">
        <v>1.06372</v>
      </c>
      <c r="G121" s="61" t="n">
        <v>1.06351</v>
      </c>
      <c r="H121" s="61" t="n">
        <v>1.06356</v>
      </c>
      <c r="I121" s="62" t="n">
        <f aca="false">ABS(H121-E121)</f>
        <v>4.000000000004E-005</v>
      </c>
      <c r="J121" s="62" t="n">
        <f aca="false">F121-G121</f>
        <v>0.000210000000000043</v>
      </c>
      <c r="K121" s="63" t="n">
        <f aca="false">IF(J121=0,0,I121/J121)</f>
        <v>0.190476190476342</v>
      </c>
      <c r="L121" s="62" t="n">
        <f aca="false">MAX(F121-G121,ABS(F121-H120),ABS(G121-H120))</f>
        <v>0.000210000000000043</v>
      </c>
      <c r="M121" s="62" t="n">
        <f aca="false">AVERAGE(L108:L121)</f>
        <v>0.00167142857142859</v>
      </c>
      <c r="N121" s="62" t="n">
        <f aca="false">H121*0.0909090909090909+N120*(1-0.0909090909090909)</f>
        <v>1.06171998207273</v>
      </c>
      <c r="O121" s="62" t="n">
        <f aca="false">AVERAGE(I108:I121)</f>
        <v>0.000899285714285706</v>
      </c>
      <c r="P121" s="62" t="n">
        <f aca="false">AVERAGE(J117:J121)</f>
        <v>0.00123800000000007</v>
      </c>
      <c r="Q121" s="62" t="n">
        <f aca="false">AVERAGE(J112:J116)</f>
        <v>0.00203599999999997</v>
      </c>
      <c r="R121" s="63" t="n">
        <f aca="false">IF(Q121=0,0,P121/Q121)</f>
        <v>0.608055009823227</v>
      </c>
    </row>
    <row r="122" customFormat="false" ht="15" hidden="false" customHeight="true" outlineLevel="0" collapsed="false">
      <c r="A122" s="60" t="n">
        <v>121</v>
      </c>
      <c r="B122" s="60" t="s">
        <v>210</v>
      </c>
      <c r="C122" s="60" t="s">
        <v>255</v>
      </c>
      <c r="D122" s="60" t="s">
        <v>252</v>
      </c>
      <c r="E122" s="61" t="n">
        <v>1.06356</v>
      </c>
      <c r="F122" s="61" t="n">
        <v>1.06523</v>
      </c>
      <c r="G122" s="61" t="n">
        <v>1.0632</v>
      </c>
      <c r="H122" s="61" t="n">
        <v>1.06411</v>
      </c>
      <c r="I122" s="62" t="n">
        <f aca="false">ABS(H122-E122)</f>
        <v>0.000549999999999828</v>
      </c>
      <c r="J122" s="62" t="n">
        <f aca="false">F122-G122</f>
        <v>0.00202999999999998</v>
      </c>
      <c r="K122" s="63" t="n">
        <f aca="false">IF(J122=0,0,I122/J122)</f>
        <v>0.270935960591052</v>
      </c>
      <c r="L122" s="62" t="n">
        <f aca="false">MAX(F122-G122,ABS(F122-H121),ABS(G122-H121))</f>
        <v>0.00202999999999998</v>
      </c>
      <c r="M122" s="62" t="n">
        <f aca="false">AVERAGE(L109:L122)</f>
        <v>0.00167857142857145</v>
      </c>
      <c r="N122" s="62" t="n">
        <f aca="false">H122*0.0909090909090909+N121*(1-0.0909090909090909)</f>
        <v>1.06193725642975</v>
      </c>
      <c r="O122" s="62" t="n">
        <f aca="false">AVERAGE(I109:I122)</f>
        <v>0.000871428571428555</v>
      </c>
      <c r="P122" s="62" t="n">
        <f aca="false">AVERAGE(J118:J122)</f>
        <v>0.00116400000000003</v>
      </c>
      <c r="Q122" s="62" t="n">
        <f aca="false">AVERAGE(J113:J117)</f>
        <v>0.00231000000000003</v>
      </c>
      <c r="R122" s="63" t="n">
        <f aca="false">IF(Q122=0,0,P122/Q122)</f>
        <v>0.50389610389611</v>
      </c>
    </row>
    <row r="123" customFormat="false" ht="15" hidden="false" customHeight="true" outlineLevel="0" collapsed="false">
      <c r="A123" s="60" t="n">
        <v>122</v>
      </c>
      <c r="B123" s="60" t="s">
        <v>210</v>
      </c>
      <c r="C123" s="60" t="s">
        <v>256</v>
      </c>
      <c r="D123" s="60" t="s">
        <v>252</v>
      </c>
      <c r="E123" s="61" t="n">
        <v>1.06411</v>
      </c>
      <c r="F123" s="61" t="n">
        <v>1.06518</v>
      </c>
      <c r="G123" s="61" t="n">
        <v>1.06388</v>
      </c>
      <c r="H123" s="61" t="n">
        <v>1.06417</v>
      </c>
      <c r="I123" s="62" t="n">
        <f aca="false">ABS(H123-E123)</f>
        <v>6.0000000000171E-005</v>
      </c>
      <c r="J123" s="62" t="n">
        <f aca="false">F123-G123</f>
        <v>0.00130000000000008</v>
      </c>
      <c r="K123" s="63" t="n">
        <f aca="false">IF(J123=0,0,I123/J123)</f>
        <v>0.0461538461539749</v>
      </c>
      <c r="L123" s="62" t="n">
        <f aca="false">MAX(F123-G123,ABS(F123-H122),ABS(G123-H122))</f>
        <v>0.00130000000000008</v>
      </c>
      <c r="M123" s="62" t="n">
        <f aca="false">AVERAGE(L110:L123)</f>
        <v>0.00164714285714288</v>
      </c>
      <c r="N123" s="62" t="n">
        <f aca="false">H123*0.0909090909090909+N122*(1-0.0909090909090909)</f>
        <v>1.06214023311796</v>
      </c>
      <c r="O123" s="62" t="n">
        <f aca="false">AVERAGE(I110:I123)</f>
        <v>0.000829999999999997</v>
      </c>
      <c r="P123" s="62" t="n">
        <f aca="false">AVERAGE(J119:J123)</f>
        <v>0.00099800000000001</v>
      </c>
      <c r="Q123" s="62" t="n">
        <f aca="false">AVERAGE(J114:J118)</f>
        <v>0.00238200000000006</v>
      </c>
      <c r="R123" s="63" t="n">
        <f aca="false">IF(Q123=0,0,P123/Q123)</f>
        <v>0.418975650713679</v>
      </c>
    </row>
    <row r="124" customFormat="false" ht="15" hidden="false" customHeight="true" outlineLevel="0" collapsed="false">
      <c r="A124" s="60" t="n">
        <v>123</v>
      </c>
      <c r="B124" s="60" t="s">
        <v>210</v>
      </c>
      <c r="C124" s="60" t="s">
        <v>257</v>
      </c>
      <c r="D124" s="60" t="s">
        <v>258</v>
      </c>
      <c r="E124" s="61" t="n">
        <v>1.06417</v>
      </c>
      <c r="F124" s="61" t="n">
        <v>1.06502</v>
      </c>
      <c r="G124" s="61" t="n">
        <v>1.06152</v>
      </c>
      <c r="H124" s="61" t="n">
        <v>1.06203</v>
      </c>
      <c r="I124" s="62" t="n">
        <f aca="false">ABS(H124-E124)</f>
        <v>0.00214000000000003</v>
      </c>
      <c r="J124" s="62" t="n">
        <f aca="false">F124-G124</f>
        <v>0.00350000000000006</v>
      </c>
      <c r="K124" s="63" t="n">
        <f aca="false">IF(J124=0,0,I124/J124)</f>
        <v>0.61142857142857</v>
      </c>
      <c r="L124" s="62" t="n">
        <f aca="false">MAX(F124-G124,ABS(F124-H123),ABS(G124-H123))</f>
        <v>0.00350000000000006</v>
      </c>
      <c r="M124" s="62" t="n">
        <f aca="false">AVERAGE(L111:L124)</f>
        <v>0.0018414285714286</v>
      </c>
      <c r="N124" s="62" t="n">
        <f aca="false">H124*0.0909090909090909+N123*(1-0.0909090909090909)</f>
        <v>1.06213021192542</v>
      </c>
      <c r="O124" s="62" t="n">
        <f aca="false">AVERAGE(I111:I124)</f>
        <v>0.000935714285714278</v>
      </c>
      <c r="P124" s="62" t="n">
        <f aca="false">AVERAGE(J120:J124)</f>
        <v>0.00152800000000002</v>
      </c>
      <c r="Q124" s="62" t="n">
        <f aca="false">AVERAGE(J115:J119)</f>
        <v>0.00203200000000008</v>
      </c>
      <c r="R124" s="63" t="n">
        <f aca="false">IF(Q124=0,0,P124/Q124)</f>
        <v>0.751968503936988</v>
      </c>
    </row>
    <row r="125" customFormat="false" ht="15" hidden="false" customHeight="true" outlineLevel="0" collapsed="false">
      <c r="A125" s="60" t="n">
        <v>124</v>
      </c>
      <c r="B125" s="60" t="s">
        <v>210</v>
      </c>
      <c r="C125" s="60" t="s">
        <v>259</v>
      </c>
      <c r="D125" s="60" t="s">
        <v>258</v>
      </c>
      <c r="E125" s="61" t="n">
        <v>1.06203</v>
      </c>
      <c r="F125" s="61" t="n">
        <v>1.0629</v>
      </c>
      <c r="G125" s="61" t="n">
        <v>1.061</v>
      </c>
      <c r="H125" s="61" t="n">
        <v>1.06281</v>
      </c>
      <c r="I125" s="62" t="n">
        <f aca="false">ABS(H125-E125)</f>
        <v>0.000780000000000003</v>
      </c>
      <c r="J125" s="62" t="n">
        <f aca="false">F125-G125</f>
        <v>0.00190000000000001</v>
      </c>
      <c r="K125" s="63" t="n">
        <f aca="false">IF(J125=0,0,I125/J125)</f>
        <v>0.410526315789472</v>
      </c>
      <c r="L125" s="62" t="n">
        <f aca="false">MAX(F125-G125,ABS(F125-H124),ABS(G125-H124))</f>
        <v>0.00190000000000001</v>
      </c>
      <c r="M125" s="62" t="n">
        <f aca="false">AVERAGE(L112:L125)</f>
        <v>0.00179285714285717</v>
      </c>
      <c r="N125" s="62" t="n">
        <f aca="false">H125*0.0909090909090909+N124*(1-0.0909090909090909)</f>
        <v>1.06219201084129</v>
      </c>
      <c r="O125" s="62" t="n">
        <f aca="false">AVERAGE(I112:I125)</f>
        <v>0.000912857142857144</v>
      </c>
      <c r="P125" s="62" t="n">
        <f aca="false">AVERAGE(J121:J125)</f>
        <v>0.00178800000000003</v>
      </c>
      <c r="Q125" s="62" t="n">
        <f aca="false">AVERAGE(J116:J120)</f>
        <v>0.00172000000000008</v>
      </c>
      <c r="R125" s="63" t="n">
        <f aca="false">IF(Q125=0,0,P125/Q125)</f>
        <v>1.0395348837209</v>
      </c>
    </row>
    <row r="126" customFormat="false" ht="15" hidden="false" customHeight="true" outlineLevel="0" collapsed="false">
      <c r="A126" s="60" t="n">
        <v>125</v>
      </c>
      <c r="B126" s="60" t="s">
        <v>210</v>
      </c>
      <c r="C126" s="60" t="s">
        <v>118</v>
      </c>
      <c r="D126" s="60" t="s">
        <v>260</v>
      </c>
      <c r="E126" s="61" t="n">
        <v>1.06281</v>
      </c>
      <c r="F126" s="61" t="n">
        <v>1.06321</v>
      </c>
      <c r="G126" s="61" t="n">
        <v>1.06202</v>
      </c>
      <c r="H126" s="61" t="n">
        <v>1.0624</v>
      </c>
      <c r="I126" s="62" t="n">
        <f aca="false">ABS(H126-E126)</f>
        <v>0.000410000000000021</v>
      </c>
      <c r="J126" s="62" t="n">
        <f aca="false">F126-G126</f>
        <v>0.00119000000000002</v>
      </c>
      <c r="K126" s="63" t="n">
        <f aca="false">IF(J126=0,0,I126/J126)</f>
        <v>0.344537815126061</v>
      </c>
      <c r="L126" s="62" t="n">
        <f aca="false">MAX(F126-G126,ABS(F126-H125),ABS(G126-H125))</f>
        <v>0.00119000000000002</v>
      </c>
      <c r="M126" s="62" t="n">
        <f aca="false">AVERAGE(L113:L126)</f>
        <v>0.00180428571428575</v>
      </c>
      <c r="N126" s="62" t="n">
        <f aca="false">H126*0.0909090909090909+N125*(1-0.0909090909090909)</f>
        <v>1.06221091894662</v>
      </c>
      <c r="O126" s="62" t="n">
        <f aca="false">AVERAGE(I113:I126)</f>
        <v>0.000922142857142856</v>
      </c>
      <c r="P126" s="62" t="n">
        <f aca="false">AVERAGE(J122:J126)</f>
        <v>0.00198400000000003</v>
      </c>
      <c r="Q126" s="62" t="n">
        <f aca="false">AVERAGE(J117:J121)</f>
        <v>0.00123800000000007</v>
      </c>
      <c r="R126" s="63" t="n">
        <f aca="false">IF(Q126=0,0,P126/Q126)</f>
        <v>1.60258481421641</v>
      </c>
    </row>
    <row r="127" customFormat="false" ht="15" hidden="false" customHeight="true" outlineLevel="0" collapsed="false">
      <c r="A127" s="60" t="n">
        <v>126</v>
      </c>
      <c r="B127" s="60" t="s">
        <v>210</v>
      </c>
      <c r="C127" s="60" t="s">
        <v>261</v>
      </c>
      <c r="D127" s="60" t="s">
        <v>260</v>
      </c>
      <c r="E127" s="61" t="n">
        <v>1.0624</v>
      </c>
      <c r="F127" s="61" t="n">
        <v>1.06501</v>
      </c>
      <c r="G127" s="61" t="n">
        <v>1.06193</v>
      </c>
      <c r="H127" s="61" t="n">
        <v>1.06488</v>
      </c>
      <c r="I127" s="62" t="n">
        <f aca="false">ABS(H127-E127)</f>
        <v>0.00248000000000004</v>
      </c>
      <c r="J127" s="62" t="n">
        <f aca="false">F127-G127</f>
        <v>0.00307999999999997</v>
      </c>
      <c r="K127" s="63" t="n">
        <f aca="false">IF(J127=0,0,I127/J127)</f>
        <v>0.805194805194825</v>
      </c>
      <c r="L127" s="62" t="n">
        <f aca="false">MAX(F127-G127,ABS(F127-H126),ABS(G127-H126))</f>
        <v>0.00307999999999997</v>
      </c>
      <c r="M127" s="62" t="n">
        <f aca="false">AVERAGE(L114:L127)</f>
        <v>0.00189785714285717</v>
      </c>
      <c r="N127" s="62" t="n">
        <f aca="false">H127*0.0909090909090909+N126*(1-0.0909090909090909)</f>
        <v>1.06245356267875</v>
      </c>
      <c r="O127" s="62" t="n">
        <f aca="false">AVERAGE(I114:I127)</f>
        <v>0.00107428571428571</v>
      </c>
      <c r="P127" s="62" t="n">
        <f aca="false">AVERAGE(J123:J127)</f>
        <v>0.00219400000000003</v>
      </c>
      <c r="Q127" s="62" t="n">
        <f aca="false">AVERAGE(J118:J122)</f>
        <v>0.00116400000000003</v>
      </c>
      <c r="R127" s="63" t="n">
        <f aca="false">IF(Q127=0,0,P127/Q127)</f>
        <v>1.88487972508588</v>
      </c>
    </row>
    <row r="128" customFormat="false" ht="15" hidden="false" customHeight="true" outlineLevel="0" collapsed="false">
      <c r="A128" s="60" t="n">
        <v>127</v>
      </c>
      <c r="B128" s="60" t="s">
        <v>210</v>
      </c>
      <c r="C128" s="60" t="s">
        <v>262</v>
      </c>
      <c r="D128" s="60" t="s">
        <v>260</v>
      </c>
      <c r="E128" s="61" t="n">
        <v>1.06488</v>
      </c>
      <c r="F128" s="61" t="n">
        <v>1.06492</v>
      </c>
      <c r="G128" s="61" t="n">
        <v>1.06349</v>
      </c>
      <c r="H128" s="61" t="n">
        <v>1.06359</v>
      </c>
      <c r="I128" s="62" t="n">
        <f aca="false">ABS(H128-E128)</f>
        <v>0.00129000000000001</v>
      </c>
      <c r="J128" s="62" t="n">
        <f aca="false">F128-G128</f>
        <v>0.00143000000000004</v>
      </c>
      <c r="K128" s="63" t="n">
        <f aca="false">IF(J128=0,0,I128/J128)</f>
        <v>0.902097902097885</v>
      </c>
      <c r="L128" s="62" t="n">
        <f aca="false">MAX(F128-G128,ABS(F128-H127),ABS(G128-H127))</f>
        <v>0.00143000000000004</v>
      </c>
      <c r="M128" s="62" t="n">
        <f aca="false">AVERAGE(L115:L128)</f>
        <v>0.00181428571428575</v>
      </c>
      <c r="N128" s="62" t="n">
        <f aca="false">H128*0.0909090909090909+N127*(1-0.0909090909090909)</f>
        <v>1.0625568751625</v>
      </c>
      <c r="O128" s="62" t="n">
        <f aca="false">AVERAGE(I115:I128)</f>
        <v>0.00106571428571429</v>
      </c>
      <c r="P128" s="62" t="n">
        <f aca="false">AVERAGE(J124:J128)</f>
        <v>0.00222000000000002</v>
      </c>
      <c r="Q128" s="62" t="n">
        <f aca="false">AVERAGE(J119:J123)</f>
        <v>0.00099800000000001</v>
      </c>
      <c r="R128" s="63" t="n">
        <f aca="false">IF(Q128=0,0,P128/Q128)</f>
        <v>2.22444889779559</v>
      </c>
    </row>
    <row r="129" customFormat="false" ht="15" hidden="false" customHeight="true" outlineLevel="0" collapsed="false">
      <c r="A129" s="60" t="n">
        <v>128</v>
      </c>
      <c r="B129" s="60" t="s">
        <v>210</v>
      </c>
      <c r="C129" s="60" t="s">
        <v>263</v>
      </c>
      <c r="D129" s="60" t="s">
        <v>260</v>
      </c>
      <c r="E129" s="61" t="n">
        <v>1.06359</v>
      </c>
      <c r="F129" s="61" t="n">
        <v>1.06366</v>
      </c>
      <c r="G129" s="61" t="n">
        <v>1.06164</v>
      </c>
      <c r="H129" s="61" t="n">
        <v>1.06233</v>
      </c>
      <c r="I129" s="62" t="n">
        <f aca="false">ABS(H129-E129)</f>
        <v>0.00126000000000004</v>
      </c>
      <c r="J129" s="62" t="n">
        <f aca="false">F129-G129</f>
        <v>0.00202000000000013</v>
      </c>
      <c r="K129" s="63" t="n">
        <f aca="false">IF(J129=0,0,I129/J129)</f>
        <v>0.623762376237602</v>
      </c>
      <c r="L129" s="62" t="n">
        <f aca="false">MAX(F129-G129,ABS(F129-H128),ABS(G129-H128))</f>
        <v>0.00202000000000013</v>
      </c>
      <c r="M129" s="62" t="n">
        <f aca="false">AVERAGE(L116:L129)</f>
        <v>0.00180428571428577</v>
      </c>
      <c r="N129" s="62" t="n">
        <f aca="false">H129*0.0909090909090909+N128*(1-0.0909090909090909)</f>
        <v>1.06253625014773</v>
      </c>
      <c r="O129" s="62" t="n">
        <f aca="false">AVERAGE(I116:I129)</f>
        <v>0.00103642857142857</v>
      </c>
      <c r="P129" s="62" t="n">
        <f aca="false">AVERAGE(J125:J129)</f>
        <v>0.00192400000000004</v>
      </c>
      <c r="Q129" s="62" t="n">
        <f aca="false">AVERAGE(J120:J124)</f>
        <v>0.00152800000000002</v>
      </c>
      <c r="R129" s="63" t="n">
        <f aca="false">IF(Q129=0,0,P129/Q129)</f>
        <v>1.25916230366493</v>
      </c>
    </row>
    <row r="130" customFormat="false" ht="15" hidden="false" customHeight="true" outlineLevel="0" collapsed="false">
      <c r="A130" s="60" t="n">
        <v>129</v>
      </c>
      <c r="B130" s="60" t="s">
        <v>210</v>
      </c>
      <c r="C130" s="60" t="s">
        <v>264</v>
      </c>
      <c r="D130" s="60" t="s">
        <v>260</v>
      </c>
      <c r="E130" s="61" t="n">
        <v>1.06233</v>
      </c>
      <c r="F130" s="61" t="n">
        <v>1.06419</v>
      </c>
      <c r="G130" s="61" t="n">
        <v>1.06168</v>
      </c>
      <c r="H130" s="61" t="n">
        <v>1.06355</v>
      </c>
      <c r="I130" s="62" t="n">
        <f aca="false">ABS(H130-E130)</f>
        <v>0.00122</v>
      </c>
      <c r="J130" s="62" t="n">
        <f aca="false">F130-G130</f>
        <v>0.00251000000000001</v>
      </c>
      <c r="K130" s="63" t="n">
        <f aca="false">IF(J130=0,0,I130/J130)</f>
        <v>0.486055776892427</v>
      </c>
      <c r="L130" s="62" t="n">
        <f aca="false">MAX(F130-G130,ABS(F130-H129),ABS(G130-H129))</f>
        <v>0.00251000000000001</v>
      </c>
      <c r="M130" s="62" t="n">
        <f aca="false">AVERAGE(L117:L130)</f>
        <v>0.00179642857142862</v>
      </c>
      <c r="N130" s="62" t="n">
        <f aca="false">H130*0.0909090909090909+N129*(1-0.0909090909090909)</f>
        <v>1.06262840922521</v>
      </c>
      <c r="O130" s="62" t="n">
        <f aca="false">AVERAGE(I117:I130)</f>
        <v>0.000970000000000011</v>
      </c>
      <c r="P130" s="62" t="n">
        <f aca="false">AVERAGE(J126:J130)</f>
        <v>0.00204600000000004</v>
      </c>
      <c r="Q130" s="62" t="n">
        <f aca="false">AVERAGE(J121:J125)</f>
        <v>0.00178800000000003</v>
      </c>
      <c r="R130" s="63" t="n">
        <f aca="false">IF(Q130=0,0,P130/Q130)</f>
        <v>1.14429530201342</v>
      </c>
    </row>
    <row r="131" customFormat="false" ht="15" hidden="false" customHeight="true" outlineLevel="0" collapsed="false">
      <c r="A131" s="60" t="n">
        <v>130</v>
      </c>
      <c r="B131" s="60" t="s">
        <v>210</v>
      </c>
      <c r="C131" s="60" t="s">
        <v>265</v>
      </c>
      <c r="D131" s="60" t="s">
        <v>258</v>
      </c>
      <c r="E131" s="61" t="n">
        <v>1.06355</v>
      </c>
      <c r="F131" s="61" t="n">
        <v>1.06386</v>
      </c>
      <c r="G131" s="61" t="n">
        <v>1.06295</v>
      </c>
      <c r="H131" s="61" t="n">
        <v>1.06303</v>
      </c>
      <c r="I131" s="62" t="n">
        <f aca="false">ABS(H131-E131)</f>
        <v>0.000520000000000076</v>
      </c>
      <c r="J131" s="62" t="n">
        <f aca="false">F131-G131</f>
        <v>0.000909999999999966</v>
      </c>
      <c r="K131" s="63" t="n">
        <f aca="false">IF(J131=0,0,I131/J131)</f>
        <v>0.571428571428676</v>
      </c>
      <c r="L131" s="62" t="n">
        <f aca="false">MAX(F131-G131,ABS(F131-H130),ABS(G131-H130))</f>
        <v>0.000909999999999966</v>
      </c>
      <c r="M131" s="62" t="n">
        <f aca="false">AVERAGE(L118:L131)</f>
        <v>0.00169000000000003</v>
      </c>
      <c r="N131" s="62" t="n">
        <f aca="false">H131*0.0909090909090909+N130*(1-0.0909090909090909)</f>
        <v>1.06266491747746</v>
      </c>
      <c r="O131" s="62" t="n">
        <f aca="false">AVERAGE(I118:I131)</f>
        <v>0.000900714285714302</v>
      </c>
      <c r="P131" s="62" t="n">
        <f aca="false">AVERAGE(J127:J131)</f>
        <v>0.00199000000000003</v>
      </c>
      <c r="Q131" s="62" t="n">
        <f aca="false">AVERAGE(J122:J126)</f>
        <v>0.00198400000000003</v>
      </c>
      <c r="R131" s="63" t="n">
        <f aca="false">IF(Q131=0,0,P131/Q131)</f>
        <v>1.00302419354838</v>
      </c>
    </row>
    <row r="132" customFormat="false" ht="15" hidden="false" customHeight="true" outlineLevel="0" collapsed="false">
      <c r="A132" s="60" t="n">
        <v>131</v>
      </c>
      <c r="B132" s="60" t="s">
        <v>211</v>
      </c>
      <c r="C132" s="60" t="s">
        <v>251</v>
      </c>
      <c r="D132" s="60" t="s">
        <v>252</v>
      </c>
      <c r="E132" s="61" t="n">
        <v>1.06303</v>
      </c>
      <c r="F132" s="61" t="n">
        <v>1.06323</v>
      </c>
      <c r="G132" s="61" t="n">
        <v>1.06182</v>
      </c>
      <c r="H132" s="61" t="n">
        <v>1.0626</v>
      </c>
      <c r="I132" s="62" t="n">
        <f aca="false">ABS(H132-E132)</f>
        <v>0.00042999999999993</v>
      </c>
      <c r="J132" s="62" t="n">
        <f aca="false">F132-G132</f>
        <v>0.00140999999999991</v>
      </c>
      <c r="K132" s="63" t="n">
        <f aca="false">IF(J132=0,0,I132/J132)</f>
        <v>0.304964539007062</v>
      </c>
      <c r="L132" s="62" t="n">
        <f aca="false">MAX(F132-G132,ABS(F132-H131),ABS(G132-H131))</f>
        <v>0.00140999999999991</v>
      </c>
      <c r="M132" s="62" t="n">
        <f aca="false">AVERAGE(L119:L132)</f>
        <v>0.00163857142857144</v>
      </c>
      <c r="N132" s="62" t="n">
        <f aca="false">H132*0.0909090909090909+N131*(1-0.0909090909090909)</f>
        <v>1.0626590158886</v>
      </c>
      <c r="O132" s="62" t="n">
        <f aca="false">AVERAGE(I119:I132)</f>
        <v>0.000855714285714293</v>
      </c>
      <c r="P132" s="62" t="n">
        <f aca="false">AVERAGE(J128:J132)</f>
        <v>0.00165600000000001</v>
      </c>
      <c r="Q132" s="62" t="n">
        <f aca="false">AVERAGE(J123:J127)</f>
        <v>0.00219400000000003</v>
      </c>
      <c r="R132" s="63" t="n">
        <f aca="false">IF(Q132=0,0,P132/Q132)</f>
        <v>0.754785779398355</v>
      </c>
    </row>
    <row r="133" customFormat="false" ht="15" hidden="false" customHeight="true" outlineLevel="0" collapsed="false">
      <c r="A133" s="60" t="n">
        <v>132</v>
      </c>
      <c r="B133" s="60" t="s">
        <v>211</v>
      </c>
      <c r="C133" s="60" t="s">
        <v>253</v>
      </c>
      <c r="D133" s="60" t="s">
        <v>252</v>
      </c>
      <c r="E133" s="61" t="n">
        <v>1.0626</v>
      </c>
      <c r="F133" s="61" t="n">
        <v>1.06308</v>
      </c>
      <c r="G133" s="61" t="n">
        <v>1.0609</v>
      </c>
      <c r="H133" s="61" t="n">
        <v>1.06101</v>
      </c>
      <c r="I133" s="62" t="n">
        <f aca="false">ABS(H133-E133)</f>
        <v>0.00158999999999998</v>
      </c>
      <c r="J133" s="62" t="n">
        <f aca="false">F133-G133</f>
        <v>0.00218000000000007</v>
      </c>
      <c r="K133" s="63" t="n">
        <f aca="false">IF(J133=0,0,I133/J133)</f>
        <v>0.729357798165105</v>
      </c>
      <c r="L133" s="62" t="n">
        <f aca="false">MAX(F133-G133,ABS(F133-H132),ABS(G133-H132))</f>
        <v>0.00218000000000007</v>
      </c>
      <c r="M133" s="62" t="n">
        <f aca="false">AVERAGE(L120:L133)</f>
        <v>0.00173357142857145</v>
      </c>
      <c r="N133" s="62" t="n">
        <f aca="false">H133*0.0909090909090909+N132*(1-0.0909090909090909)</f>
        <v>1.06250910535327</v>
      </c>
      <c r="O133" s="62" t="n">
        <f aca="false">AVERAGE(I120:I133)</f>
        <v>0.000929285714285728</v>
      </c>
      <c r="P133" s="62" t="n">
        <f aca="false">AVERAGE(J129:J133)</f>
        <v>0.00180600000000002</v>
      </c>
      <c r="Q133" s="62" t="n">
        <f aca="false">AVERAGE(J124:J128)</f>
        <v>0.00222000000000002</v>
      </c>
      <c r="R133" s="63" t="n">
        <f aca="false">IF(Q133=0,0,P133/Q133)</f>
        <v>0.813513513513514</v>
      </c>
    </row>
    <row r="134" customFormat="false" ht="15" hidden="false" customHeight="true" outlineLevel="0" collapsed="false">
      <c r="A134" s="60" t="n">
        <v>133</v>
      </c>
      <c r="B134" s="60" t="s">
        <v>211</v>
      </c>
      <c r="C134" s="60" t="s">
        <v>254</v>
      </c>
      <c r="D134" s="60" t="s">
        <v>252</v>
      </c>
      <c r="E134" s="61" t="n">
        <v>1.06101</v>
      </c>
      <c r="F134" s="61" t="n">
        <v>1.06185</v>
      </c>
      <c r="G134" s="61" t="n">
        <v>1.05997</v>
      </c>
      <c r="H134" s="61" t="n">
        <v>1.06125</v>
      </c>
      <c r="I134" s="62" t="n">
        <f aca="false">ABS(H134-E134)</f>
        <v>0.000240000000000018</v>
      </c>
      <c r="J134" s="62" t="n">
        <f aca="false">F134-G134</f>
        <v>0.00187999999999988</v>
      </c>
      <c r="K134" s="63" t="n">
        <f aca="false">IF(J134=0,0,I134/J134)</f>
        <v>0.127659574468103</v>
      </c>
      <c r="L134" s="62" t="n">
        <f aca="false">MAX(F134-G134,ABS(F134-H133),ABS(G134-H133))</f>
        <v>0.00187999999999988</v>
      </c>
      <c r="M134" s="62" t="n">
        <f aca="false">AVERAGE(L121:L134)</f>
        <v>0.00182500000000001</v>
      </c>
      <c r="N134" s="62" t="n">
        <f aca="false">H134*0.0909090909090909+N133*(1-0.0909090909090909)</f>
        <v>1.06239464123025</v>
      </c>
      <c r="O134" s="62" t="n">
        <f aca="false">AVERAGE(I121:I134)</f>
        <v>0.000929285714285728</v>
      </c>
      <c r="P134" s="62" t="n">
        <f aca="false">AVERAGE(J130:J134)</f>
        <v>0.00177799999999997</v>
      </c>
      <c r="Q134" s="62" t="n">
        <f aca="false">AVERAGE(J125:J129)</f>
        <v>0.00192400000000004</v>
      </c>
      <c r="R134" s="63" t="n">
        <f aca="false">IF(Q134=0,0,P134/Q134)</f>
        <v>0.92411642411639</v>
      </c>
    </row>
    <row r="135" customFormat="false" ht="15" hidden="false" customHeight="true" outlineLevel="0" collapsed="false">
      <c r="A135" s="60" t="n">
        <v>134</v>
      </c>
      <c r="B135" s="60" t="s">
        <v>211</v>
      </c>
      <c r="C135" s="60" t="s">
        <v>255</v>
      </c>
      <c r="D135" s="60" t="s">
        <v>252</v>
      </c>
      <c r="E135" s="61" t="n">
        <v>1.06125</v>
      </c>
      <c r="F135" s="61" t="n">
        <v>1.06136</v>
      </c>
      <c r="G135" s="61" t="n">
        <v>1.06015</v>
      </c>
      <c r="H135" s="61" t="n">
        <v>1.06039</v>
      </c>
      <c r="I135" s="62" t="n">
        <f aca="false">ABS(H135-E135)</f>
        <v>0.000860000000000083</v>
      </c>
      <c r="J135" s="62" t="n">
        <f aca="false">F135-G135</f>
        <v>0.00121000000000016</v>
      </c>
      <c r="K135" s="63" t="n">
        <f aca="false">IF(J135=0,0,I135/J135)</f>
        <v>0.71074380165287</v>
      </c>
      <c r="L135" s="62" t="n">
        <f aca="false">MAX(F135-G135,ABS(F135-H134),ABS(G135-H134))</f>
        <v>0.00121000000000016</v>
      </c>
      <c r="M135" s="62" t="n">
        <f aca="false">AVERAGE(L122:L135)</f>
        <v>0.00189642857142859</v>
      </c>
      <c r="N135" s="62" t="n">
        <f aca="false">H135*0.0909090909090909+N134*(1-0.0909090909090909)</f>
        <v>1.06221240111841</v>
      </c>
      <c r="O135" s="62" t="n">
        <f aca="false">AVERAGE(I122:I135)</f>
        <v>0.000987857142857159</v>
      </c>
      <c r="P135" s="62" t="n">
        <f aca="false">AVERAGE(J131:J135)</f>
        <v>0.001518</v>
      </c>
      <c r="Q135" s="62" t="n">
        <f aca="false">AVERAGE(J126:J130)</f>
        <v>0.00204600000000004</v>
      </c>
      <c r="R135" s="63" t="n">
        <f aca="false">IF(Q135=0,0,P135/Q135)</f>
        <v>0.741935483870953</v>
      </c>
    </row>
    <row r="136" customFormat="false" ht="15" hidden="false" customHeight="true" outlineLevel="0" collapsed="false">
      <c r="A136" s="60" t="n">
        <v>135</v>
      </c>
      <c r="B136" s="60" t="s">
        <v>211</v>
      </c>
      <c r="C136" s="60" t="s">
        <v>256</v>
      </c>
      <c r="D136" s="60" t="s">
        <v>252</v>
      </c>
      <c r="E136" s="61" t="n">
        <v>1.06039</v>
      </c>
      <c r="F136" s="61" t="n">
        <v>1.06101</v>
      </c>
      <c r="G136" s="61" t="n">
        <v>1.05985</v>
      </c>
      <c r="H136" s="61" t="n">
        <v>1.05997</v>
      </c>
      <c r="I136" s="62" t="n">
        <f aca="false">ABS(H136-E136)</f>
        <v>0.000419999999999865</v>
      </c>
      <c r="J136" s="62" t="n">
        <f aca="false">F136-G136</f>
        <v>0.00116000000000005</v>
      </c>
      <c r="K136" s="63" t="n">
        <f aca="false">IF(J136=0,0,I136/J136)</f>
        <v>0.362068965517109</v>
      </c>
      <c r="L136" s="62" t="n">
        <f aca="false">MAX(F136-G136,ABS(F136-H135),ABS(G136-H135))</f>
        <v>0.00116000000000005</v>
      </c>
      <c r="M136" s="62" t="n">
        <f aca="false">AVERAGE(L123:L136)</f>
        <v>0.00183428571428574</v>
      </c>
      <c r="N136" s="62" t="n">
        <f aca="false">H136*0.0909090909090909+N135*(1-0.0909090909090909)</f>
        <v>1.06200854647128</v>
      </c>
      <c r="O136" s="62" t="n">
        <f aca="false">AVERAGE(I123:I136)</f>
        <v>0.000978571428571448</v>
      </c>
      <c r="P136" s="62" t="n">
        <f aca="false">AVERAGE(J132:J136)</f>
        <v>0.00156800000000001</v>
      </c>
      <c r="Q136" s="62" t="n">
        <f aca="false">AVERAGE(J127:J131)</f>
        <v>0.00199000000000003</v>
      </c>
      <c r="R136" s="63" t="n">
        <f aca="false">IF(Q136=0,0,P136/Q136)</f>
        <v>0.787939698492459</v>
      </c>
    </row>
    <row r="137" customFormat="false" ht="15" hidden="false" customHeight="true" outlineLevel="0" collapsed="false">
      <c r="A137" s="60" t="n">
        <v>136</v>
      </c>
      <c r="B137" s="60" t="s">
        <v>211</v>
      </c>
      <c r="C137" s="60" t="s">
        <v>257</v>
      </c>
      <c r="D137" s="60" t="s">
        <v>258</v>
      </c>
      <c r="E137" s="61" t="n">
        <v>1.05997</v>
      </c>
      <c r="F137" s="61" t="n">
        <v>1.06053</v>
      </c>
      <c r="G137" s="61" t="n">
        <v>1.05816</v>
      </c>
      <c r="H137" s="61" t="n">
        <v>1.05864</v>
      </c>
      <c r="I137" s="62" t="n">
        <f aca="false">ABS(H137-E137)</f>
        <v>0.00133000000000005</v>
      </c>
      <c r="J137" s="62" t="n">
        <f aca="false">F137-G137</f>
        <v>0.00236999999999998</v>
      </c>
      <c r="K137" s="63" t="n">
        <f aca="false">IF(J137=0,0,I137/J137)</f>
        <v>0.561181434599183</v>
      </c>
      <c r="L137" s="62" t="n">
        <f aca="false">MAX(F137-G137,ABS(F137-H136),ABS(G137-H136))</f>
        <v>0.00236999999999998</v>
      </c>
      <c r="M137" s="62" t="n">
        <f aca="false">AVERAGE(L124:L137)</f>
        <v>0.00191071428571431</v>
      </c>
      <c r="N137" s="62" t="n">
        <f aca="false">H137*0.0909090909090909+N136*(1-0.0909090909090909)</f>
        <v>1.06170231497389</v>
      </c>
      <c r="O137" s="62" t="n">
        <f aca="false">AVERAGE(I124:I137)</f>
        <v>0.00106928571428573</v>
      </c>
      <c r="P137" s="62" t="n">
        <f aca="false">AVERAGE(J133:J137)</f>
        <v>0.00176000000000003</v>
      </c>
      <c r="Q137" s="62" t="n">
        <f aca="false">AVERAGE(J128:J132)</f>
        <v>0.00165600000000001</v>
      </c>
      <c r="R137" s="63" t="n">
        <f aca="false">IF(Q137=0,0,P137/Q137)</f>
        <v>1.06280193236716</v>
      </c>
    </row>
    <row r="138" customFormat="false" ht="15" hidden="false" customHeight="true" outlineLevel="0" collapsed="false">
      <c r="A138" s="60" t="n">
        <v>137</v>
      </c>
      <c r="B138" s="60" t="s">
        <v>211</v>
      </c>
      <c r="C138" s="60" t="s">
        <v>259</v>
      </c>
      <c r="D138" s="60" t="s">
        <v>258</v>
      </c>
      <c r="E138" s="61" t="n">
        <v>1.05864</v>
      </c>
      <c r="F138" s="61" t="n">
        <v>1.06029</v>
      </c>
      <c r="G138" s="61" t="n">
        <v>1.05783</v>
      </c>
      <c r="H138" s="61" t="n">
        <v>1.05915</v>
      </c>
      <c r="I138" s="62" t="n">
        <f aca="false">ABS(H138-E138)</f>
        <v>0.00051000000000001</v>
      </c>
      <c r="J138" s="62" t="n">
        <f aca="false">F138-G138</f>
        <v>0.00245999999999991</v>
      </c>
      <c r="K138" s="63" t="n">
        <f aca="false">IF(J138=0,0,I138/J138)</f>
        <v>0.207317073170744</v>
      </c>
      <c r="L138" s="62" t="n">
        <f aca="false">MAX(F138-G138,ABS(F138-H137),ABS(G138-H137))</f>
        <v>0.00245999999999991</v>
      </c>
      <c r="M138" s="62" t="n">
        <f aca="false">AVERAGE(L125:L138)</f>
        <v>0.00183642857142858</v>
      </c>
      <c r="N138" s="62" t="n">
        <f aca="false">H138*0.0909090909090909+N137*(1-0.0909090909090909)</f>
        <v>1.0614702863399</v>
      </c>
      <c r="O138" s="62" t="n">
        <f aca="false">AVERAGE(I125:I138)</f>
        <v>0.000952857142857152</v>
      </c>
      <c r="P138" s="62" t="n">
        <f aca="false">AVERAGE(J134:J138)</f>
        <v>0.001816</v>
      </c>
      <c r="Q138" s="62" t="n">
        <f aca="false">AVERAGE(J129:J133)</f>
        <v>0.00180600000000002</v>
      </c>
      <c r="R138" s="63" t="n">
        <f aca="false">IF(Q138=0,0,P138/Q138)</f>
        <v>1.00553709856034</v>
      </c>
    </row>
    <row r="139" customFormat="false" ht="15" hidden="false" customHeight="true" outlineLevel="0" collapsed="false">
      <c r="A139" s="60" t="n">
        <v>138</v>
      </c>
      <c r="B139" s="60" t="s">
        <v>211</v>
      </c>
      <c r="C139" s="60" t="s">
        <v>118</v>
      </c>
      <c r="D139" s="60" t="s">
        <v>260</v>
      </c>
      <c r="E139" s="61" t="n">
        <v>1.05915</v>
      </c>
      <c r="F139" s="61" t="n">
        <v>1.06061</v>
      </c>
      <c r="G139" s="61" t="n">
        <v>1.05892</v>
      </c>
      <c r="H139" s="61" t="n">
        <v>1.05981</v>
      </c>
      <c r="I139" s="62" t="n">
        <f aca="false">ABS(H139-E139)</f>
        <v>0.000659999999999883</v>
      </c>
      <c r="J139" s="62" t="n">
        <f aca="false">F139-G139</f>
        <v>0.00168999999999997</v>
      </c>
      <c r="K139" s="63" t="n">
        <f aca="false">IF(J139=0,0,I139/J139)</f>
        <v>0.390532544378636</v>
      </c>
      <c r="L139" s="62" t="n">
        <f aca="false">MAX(F139-G139,ABS(F139-H138),ABS(G139-H138))</f>
        <v>0.00168999999999997</v>
      </c>
      <c r="M139" s="62" t="n">
        <f aca="false">AVERAGE(L126:L139)</f>
        <v>0.00182142857142858</v>
      </c>
      <c r="N139" s="62" t="n">
        <f aca="false">H139*0.0909090909090909+N138*(1-0.0909090909090909)</f>
        <v>1.06131935121809</v>
      </c>
      <c r="O139" s="62" t="n">
        <f aca="false">AVERAGE(I126:I139)</f>
        <v>0.000944285714285715</v>
      </c>
      <c r="P139" s="62" t="n">
        <f aca="false">AVERAGE(J135:J139)</f>
        <v>0.00177800000000001</v>
      </c>
      <c r="Q139" s="62" t="n">
        <f aca="false">AVERAGE(J130:J134)</f>
        <v>0.00177799999999997</v>
      </c>
      <c r="R139" s="63" t="n">
        <f aca="false">IF(Q139=0,0,P139/Q139)</f>
        <v>1.00000000000003</v>
      </c>
    </row>
    <row r="140" customFormat="false" ht="15" hidden="false" customHeight="true" outlineLevel="0" collapsed="false">
      <c r="A140" s="60" t="n">
        <v>139</v>
      </c>
      <c r="B140" s="60" t="s">
        <v>211</v>
      </c>
      <c r="C140" s="60" t="s">
        <v>261</v>
      </c>
      <c r="D140" s="60" t="s">
        <v>260</v>
      </c>
      <c r="E140" s="61" t="n">
        <v>1.05981</v>
      </c>
      <c r="F140" s="61" t="n">
        <v>1.06048</v>
      </c>
      <c r="G140" s="61" t="n">
        <v>1.05796</v>
      </c>
      <c r="H140" s="61" t="n">
        <v>1.05948</v>
      </c>
      <c r="I140" s="62" t="n">
        <f aca="false">ABS(H140-E140)</f>
        <v>0.000329999999999941</v>
      </c>
      <c r="J140" s="62" t="n">
        <f aca="false">F140-G140</f>
        <v>0.00252000000000008</v>
      </c>
      <c r="K140" s="63" t="n">
        <f aca="false">IF(J140=0,0,I140/J140)</f>
        <v>0.130952380952354</v>
      </c>
      <c r="L140" s="62" t="n">
        <f aca="false">MAX(F140-G140,ABS(F140-H139),ABS(G140-H139))</f>
        <v>0.00252000000000008</v>
      </c>
      <c r="M140" s="62" t="n">
        <f aca="false">AVERAGE(L127:L140)</f>
        <v>0.00191642857142858</v>
      </c>
      <c r="N140" s="62" t="n">
        <f aca="false">H140*0.0909090909090909+N139*(1-0.0909090909090909)</f>
        <v>1.06115213747099</v>
      </c>
      <c r="O140" s="62" t="n">
        <f aca="false">AVERAGE(I127:I140)</f>
        <v>0.000938571428571424</v>
      </c>
      <c r="P140" s="62" t="n">
        <f aca="false">AVERAGE(J136:J140)</f>
        <v>0.00204</v>
      </c>
      <c r="Q140" s="62" t="n">
        <f aca="false">AVERAGE(J131:J135)</f>
        <v>0.001518</v>
      </c>
      <c r="R140" s="63" t="n">
        <f aca="false">IF(Q140=0,0,P140/Q140)</f>
        <v>1.34387351778656</v>
      </c>
    </row>
    <row r="141" customFormat="false" ht="15" hidden="false" customHeight="true" outlineLevel="0" collapsed="false">
      <c r="A141" s="60" t="n">
        <v>140</v>
      </c>
      <c r="B141" s="60" t="s">
        <v>211</v>
      </c>
      <c r="C141" s="60" t="s">
        <v>262</v>
      </c>
      <c r="D141" s="60" t="s">
        <v>260</v>
      </c>
      <c r="E141" s="61" t="n">
        <v>1.05948</v>
      </c>
      <c r="F141" s="61" t="n">
        <v>1.06043</v>
      </c>
      <c r="G141" s="61" t="n">
        <v>1.0589</v>
      </c>
      <c r="H141" s="61" t="n">
        <v>1.05929</v>
      </c>
      <c r="I141" s="62" t="n">
        <f aca="false">ABS(H141-E141)</f>
        <v>0.000189999999999912</v>
      </c>
      <c r="J141" s="62" t="n">
        <f aca="false">F141-G141</f>
        <v>0.00153000000000003</v>
      </c>
      <c r="K141" s="63" t="n">
        <f aca="false">IF(J141=0,0,I141/J141)</f>
        <v>0.124183006535888</v>
      </c>
      <c r="L141" s="62" t="n">
        <f aca="false">MAX(F141-G141,ABS(F141-H140),ABS(G141-H140))</f>
        <v>0.00153000000000003</v>
      </c>
      <c r="M141" s="62" t="n">
        <f aca="false">AVERAGE(L128:L141)</f>
        <v>0.0018057142857143</v>
      </c>
      <c r="N141" s="62" t="n">
        <f aca="false">H141*0.0909090909090909+N140*(1-0.0909090909090909)</f>
        <v>1.06098285224636</v>
      </c>
      <c r="O141" s="62" t="n">
        <f aca="false">AVERAGE(I128:I141)</f>
        <v>0.000774999999999986</v>
      </c>
      <c r="P141" s="62" t="n">
        <f aca="false">AVERAGE(J137:J141)</f>
        <v>0.00211399999999999</v>
      </c>
      <c r="Q141" s="62" t="n">
        <f aca="false">AVERAGE(J132:J136)</f>
        <v>0.00156800000000001</v>
      </c>
      <c r="R141" s="63" t="n">
        <f aca="false">IF(Q141=0,0,P141/Q141)</f>
        <v>1.34821428571427</v>
      </c>
    </row>
    <row r="142" customFormat="false" ht="15" hidden="false" customHeight="true" outlineLevel="0" collapsed="false">
      <c r="A142" s="60" t="n">
        <v>141</v>
      </c>
      <c r="B142" s="60" t="s">
        <v>211</v>
      </c>
      <c r="C142" s="60" t="s">
        <v>263</v>
      </c>
      <c r="D142" s="60" t="s">
        <v>260</v>
      </c>
      <c r="E142" s="61" t="n">
        <v>1.05929</v>
      </c>
      <c r="F142" s="61" t="n">
        <v>1.06047</v>
      </c>
      <c r="G142" s="61" t="n">
        <v>1.05906</v>
      </c>
      <c r="H142" s="61" t="n">
        <v>1.05947</v>
      </c>
      <c r="I142" s="62" t="n">
        <f aca="false">ABS(H142-E142)</f>
        <v>0.000179999999999847</v>
      </c>
      <c r="J142" s="62" t="n">
        <f aca="false">F142-G142</f>
        <v>0.00141000000000013</v>
      </c>
      <c r="K142" s="63" t="n">
        <f aca="false">IF(J142=0,0,I142/J142)</f>
        <v>0.127659574467965</v>
      </c>
      <c r="L142" s="62" t="n">
        <f aca="false">MAX(F142-G142,ABS(F142-H141),ABS(G142-H141))</f>
        <v>0.00141000000000013</v>
      </c>
      <c r="M142" s="62" t="n">
        <f aca="false">AVERAGE(L129:L142)</f>
        <v>0.00180428571428573</v>
      </c>
      <c r="N142" s="62" t="n">
        <f aca="false">H142*0.0909090909090909+N141*(1-0.0909090909090909)</f>
        <v>1.06084532022396</v>
      </c>
      <c r="O142" s="62" t="n">
        <f aca="false">AVERAGE(I129:I142)</f>
        <v>0.00069571428571426</v>
      </c>
      <c r="P142" s="62" t="n">
        <f aca="false">AVERAGE(J138:J142)</f>
        <v>0.00192200000000002</v>
      </c>
      <c r="Q142" s="62" t="n">
        <f aca="false">AVERAGE(J133:J137)</f>
        <v>0.00176000000000003</v>
      </c>
      <c r="R142" s="63" t="n">
        <f aca="false">IF(Q142=0,0,P142/Q142)</f>
        <v>1.09204545454545</v>
      </c>
    </row>
    <row r="143" customFormat="false" ht="15" hidden="false" customHeight="true" outlineLevel="0" collapsed="false">
      <c r="A143" s="60" t="n">
        <v>142</v>
      </c>
      <c r="B143" s="60" t="s">
        <v>211</v>
      </c>
      <c r="C143" s="60" t="s">
        <v>264</v>
      </c>
      <c r="D143" s="60" t="s">
        <v>260</v>
      </c>
      <c r="E143" s="61" t="n">
        <v>1.05947</v>
      </c>
      <c r="F143" s="61" t="n">
        <v>1.0613</v>
      </c>
      <c r="G143" s="61" t="n">
        <v>1.05883</v>
      </c>
      <c r="H143" s="61" t="n">
        <v>1.06055</v>
      </c>
      <c r="I143" s="62" t="n">
        <f aca="false">ABS(H143-E143)</f>
        <v>0.00108000000000019</v>
      </c>
      <c r="J143" s="62" t="n">
        <f aca="false">F143-G143</f>
        <v>0.00246999999999997</v>
      </c>
      <c r="K143" s="63" t="n">
        <f aca="false">IF(J143=0,0,I143/J143)</f>
        <v>0.437246963562836</v>
      </c>
      <c r="L143" s="62" t="n">
        <f aca="false">MAX(F143-G143,ABS(F143-H142),ABS(G143-H142))</f>
        <v>0.00246999999999997</v>
      </c>
      <c r="M143" s="62" t="n">
        <f aca="false">AVERAGE(L130:L143)</f>
        <v>0.00183642857142858</v>
      </c>
      <c r="N143" s="62" t="n">
        <f aca="false">H143*0.0909090909090909+N142*(1-0.0909090909090909)</f>
        <v>1.06081847293087</v>
      </c>
      <c r="O143" s="62" t="n">
        <f aca="false">AVERAGE(I130:I143)</f>
        <v>0.000682857142857128</v>
      </c>
      <c r="P143" s="62" t="n">
        <f aca="false">AVERAGE(J139:J143)</f>
        <v>0.00192400000000004</v>
      </c>
      <c r="Q143" s="62" t="n">
        <f aca="false">AVERAGE(J134:J138)</f>
        <v>0.001816</v>
      </c>
      <c r="R143" s="63" t="n">
        <f aca="false">IF(Q143=0,0,P143/Q143)</f>
        <v>1.05947136563879</v>
      </c>
    </row>
    <row r="144" customFormat="false" ht="15" hidden="false" customHeight="true" outlineLevel="0" collapsed="false">
      <c r="A144" s="60" t="n">
        <v>143</v>
      </c>
      <c r="B144" s="60" t="s">
        <v>211</v>
      </c>
      <c r="C144" s="60" t="s">
        <v>265</v>
      </c>
      <c r="D144" s="60" t="s">
        <v>258</v>
      </c>
      <c r="E144" s="61" t="n">
        <v>1.06055</v>
      </c>
      <c r="F144" s="61" t="n">
        <v>1.06155</v>
      </c>
      <c r="G144" s="61" t="n">
        <v>1.06025</v>
      </c>
      <c r="H144" s="61" t="n">
        <v>1.06092</v>
      </c>
      <c r="I144" s="62" t="n">
        <f aca="false">ABS(H144-E144)</f>
        <v>0.000369999999999981</v>
      </c>
      <c r="J144" s="62" t="n">
        <f aca="false">F144-G144</f>
        <v>0.00130000000000008</v>
      </c>
      <c r="K144" s="63" t="n">
        <f aca="false">IF(J144=0,0,I144/J144)</f>
        <v>0.284615384615353</v>
      </c>
      <c r="L144" s="62" t="n">
        <f aca="false">MAX(F144-G144,ABS(F144-H143),ABS(G144-H143))</f>
        <v>0.00130000000000008</v>
      </c>
      <c r="M144" s="62" t="n">
        <f aca="false">AVERAGE(L131:L144)</f>
        <v>0.00175000000000001</v>
      </c>
      <c r="N144" s="62" t="n">
        <f aca="false">H144*0.0909090909090909+N143*(1-0.0909090909090909)</f>
        <v>1.06082770266443</v>
      </c>
      <c r="O144" s="62" t="n">
        <f aca="false">AVERAGE(I131:I144)</f>
        <v>0.000622142857142841</v>
      </c>
      <c r="P144" s="62" t="n">
        <f aca="false">AVERAGE(J140:J144)</f>
        <v>0.00184600000000006</v>
      </c>
      <c r="Q144" s="62" t="n">
        <f aca="false">AVERAGE(J135:J139)</f>
        <v>0.00177800000000001</v>
      </c>
      <c r="R144" s="63" t="n">
        <f aca="false">IF(Q144=0,0,P144/Q144)</f>
        <v>1.03824521934761</v>
      </c>
    </row>
    <row r="145" customFormat="false" ht="15" hidden="false" customHeight="true" outlineLevel="0" collapsed="false">
      <c r="A145" s="60" t="n">
        <v>144</v>
      </c>
      <c r="B145" s="60" t="s">
        <v>116</v>
      </c>
      <c r="C145" s="60" t="s">
        <v>251</v>
      </c>
      <c r="D145" s="60" t="s">
        <v>252</v>
      </c>
      <c r="E145" s="61" t="n">
        <v>1.06092</v>
      </c>
      <c r="F145" s="61" t="n">
        <v>1.06095</v>
      </c>
      <c r="G145" s="61" t="n">
        <v>1.0601</v>
      </c>
      <c r="H145" s="61" t="n">
        <v>1.06042</v>
      </c>
      <c r="I145" s="62" t="n">
        <f aca="false">ABS(H145-E145)</f>
        <v>0.000500000000000167</v>
      </c>
      <c r="J145" s="62" t="n">
        <f aca="false">F145-G145</f>
        <v>0.000850000000000017</v>
      </c>
      <c r="K145" s="63" t="n">
        <f aca="false">IF(J145=0,0,I145/J145)</f>
        <v>0.588235294117832</v>
      </c>
      <c r="L145" s="62" t="n">
        <f aca="false">MAX(F145-G145,ABS(F145-H144),ABS(G145-H144))</f>
        <v>0.000850000000000017</v>
      </c>
      <c r="M145" s="62" t="n">
        <f aca="false">AVERAGE(L132:L145)</f>
        <v>0.0017457142857143</v>
      </c>
      <c r="N145" s="62" t="n">
        <f aca="false">H145*0.0909090909090909+N144*(1-0.0909090909090909)</f>
        <v>1.06079063878584</v>
      </c>
      <c r="O145" s="62" t="n">
        <f aca="false">AVERAGE(I132:I145)</f>
        <v>0.000620714285714276</v>
      </c>
      <c r="P145" s="62" t="n">
        <f aca="false">AVERAGE(J141:J145)</f>
        <v>0.00151200000000005</v>
      </c>
      <c r="Q145" s="62" t="n">
        <f aca="false">AVERAGE(J136:J140)</f>
        <v>0.00204</v>
      </c>
      <c r="R145" s="63" t="n">
        <f aca="false">IF(Q145=0,0,P145/Q145)</f>
        <v>0.741176470588259</v>
      </c>
    </row>
    <row r="146" customFormat="false" ht="15" hidden="false" customHeight="true" outlineLevel="0" collapsed="false">
      <c r="A146" s="60" t="n">
        <v>145</v>
      </c>
      <c r="B146" s="60" t="s">
        <v>116</v>
      </c>
      <c r="C146" s="60" t="s">
        <v>253</v>
      </c>
      <c r="D146" s="60" t="s">
        <v>252</v>
      </c>
      <c r="E146" s="61" t="n">
        <v>1.06042</v>
      </c>
      <c r="F146" s="61" t="n">
        <v>1.0606</v>
      </c>
      <c r="G146" s="61" t="n">
        <v>1.05889</v>
      </c>
      <c r="H146" s="61" t="n">
        <v>1.05951</v>
      </c>
      <c r="I146" s="62" t="n">
        <f aca="false">ABS(H146-E146)</f>
        <v>0.000909999999999966</v>
      </c>
      <c r="J146" s="62" t="n">
        <f aca="false">F146-G146</f>
        <v>0.00170999999999988</v>
      </c>
      <c r="K146" s="63" t="n">
        <f aca="false">IF(J146=0,0,I146/J146)</f>
        <v>0.532163742690077</v>
      </c>
      <c r="L146" s="62" t="n">
        <f aca="false">MAX(F146-G146,ABS(F146-H145),ABS(G146-H145))</f>
        <v>0.00170999999999988</v>
      </c>
      <c r="M146" s="62" t="n">
        <f aca="false">AVERAGE(L133:L146)</f>
        <v>0.00176714285714287</v>
      </c>
      <c r="N146" s="62" t="n">
        <f aca="false">H146*0.0909090909090909+N145*(1-0.0909090909090909)</f>
        <v>1.06067421707804</v>
      </c>
      <c r="O146" s="62" t="n">
        <f aca="false">AVERAGE(I133:I146)</f>
        <v>0.000654999999999993</v>
      </c>
      <c r="P146" s="62" t="n">
        <f aca="false">AVERAGE(J142:J146)</f>
        <v>0.00154800000000002</v>
      </c>
      <c r="Q146" s="62" t="n">
        <f aca="false">AVERAGE(J137:J141)</f>
        <v>0.00211399999999999</v>
      </c>
      <c r="R146" s="63" t="n">
        <f aca="false">IF(Q146=0,0,P146/Q146)</f>
        <v>0.732261116367087</v>
      </c>
    </row>
    <row r="147" customFormat="false" ht="15" hidden="false" customHeight="true" outlineLevel="0" collapsed="false">
      <c r="A147" s="60" t="n">
        <v>146</v>
      </c>
      <c r="B147" s="60" t="s">
        <v>116</v>
      </c>
      <c r="C147" s="60" t="s">
        <v>254</v>
      </c>
      <c r="D147" s="60" t="s">
        <v>252</v>
      </c>
      <c r="E147" s="61" t="n">
        <v>1.05951</v>
      </c>
      <c r="F147" s="61" t="n">
        <v>1.05954</v>
      </c>
      <c r="G147" s="61" t="n">
        <v>1.05756</v>
      </c>
      <c r="H147" s="61" t="n">
        <v>1.05809</v>
      </c>
      <c r="I147" s="62" t="n">
        <f aca="false">ABS(H147-E147)</f>
        <v>0.00141999999999998</v>
      </c>
      <c r="J147" s="62" t="n">
        <f aca="false">F147-G147</f>
        <v>0.00197999999999987</v>
      </c>
      <c r="K147" s="63" t="n">
        <f aca="false">IF(J147=0,0,I147/J147)</f>
        <v>0.717171717171752</v>
      </c>
      <c r="L147" s="62" t="n">
        <f aca="false">MAX(F147-G147,ABS(F147-H146),ABS(G147-H146))</f>
        <v>0.00197999999999987</v>
      </c>
      <c r="M147" s="62" t="n">
        <f aca="false">AVERAGE(L134:L147)</f>
        <v>0.00175285714285714</v>
      </c>
      <c r="N147" s="62" t="n">
        <f aca="false">H147*0.0909090909090909+N146*(1-0.0909090909090909)</f>
        <v>1.06043928825276</v>
      </c>
      <c r="O147" s="62" t="n">
        <f aca="false">AVERAGE(I134:I147)</f>
        <v>0.000642857142857136</v>
      </c>
      <c r="P147" s="62" t="n">
        <f aca="false">AVERAGE(J143:J147)</f>
        <v>0.00166199999999996</v>
      </c>
      <c r="Q147" s="62" t="n">
        <f aca="false">AVERAGE(J138:J142)</f>
        <v>0.00192200000000002</v>
      </c>
      <c r="R147" s="63" t="n">
        <f aca="false">IF(Q147=0,0,P147/Q147)</f>
        <v>0.864724245577494</v>
      </c>
    </row>
    <row r="148" customFormat="false" ht="15" hidden="false" customHeight="true" outlineLevel="0" collapsed="false">
      <c r="A148" s="60" t="n">
        <v>147</v>
      </c>
      <c r="B148" s="60" t="s">
        <v>116</v>
      </c>
      <c r="C148" s="60" t="s">
        <v>255</v>
      </c>
      <c r="D148" s="60" t="s">
        <v>252</v>
      </c>
      <c r="E148" s="61" t="n">
        <v>1.05809</v>
      </c>
      <c r="F148" s="61" t="n">
        <v>1.05809</v>
      </c>
      <c r="G148" s="61" t="n">
        <v>1.05602</v>
      </c>
      <c r="H148" s="61" t="n">
        <v>1.05641</v>
      </c>
      <c r="I148" s="62" t="n">
        <f aca="false">ABS(H148-E148)</f>
        <v>0.0016799999999999</v>
      </c>
      <c r="J148" s="62" t="n">
        <f aca="false">F148-G148</f>
        <v>0.00207000000000002</v>
      </c>
      <c r="K148" s="63" t="n">
        <f aca="false">IF(J148=0,0,I148/J148)</f>
        <v>0.811594202898498</v>
      </c>
      <c r="L148" s="62" t="n">
        <f aca="false">MAX(F148-G148,ABS(F148-H147),ABS(G148-H147))</f>
        <v>0.00207000000000002</v>
      </c>
      <c r="M148" s="62" t="n">
        <f aca="false">AVERAGE(L135:L148)</f>
        <v>0.00176642857142858</v>
      </c>
      <c r="N148" s="62" t="n">
        <f aca="false">H148*0.0909090909090909+N147*(1-0.0909090909090909)</f>
        <v>1.06007298932069</v>
      </c>
      <c r="O148" s="62" t="n">
        <f aca="false">AVERAGE(I135:I148)</f>
        <v>0.00074571428571427</v>
      </c>
      <c r="P148" s="62" t="n">
        <f aca="false">AVERAGE(J144:J148)</f>
        <v>0.00158199999999997</v>
      </c>
      <c r="Q148" s="62" t="n">
        <f aca="false">AVERAGE(J139:J143)</f>
        <v>0.00192400000000004</v>
      </c>
      <c r="R148" s="63" t="n">
        <f aca="false">IF(Q148=0,0,P148/Q148)</f>
        <v>0.822245322245292</v>
      </c>
    </row>
    <row r="149" customFormat="false" ht="15" hidden="false" customHeight="true" outlineLevel="0" collapsed="false">
      <c r="A149" s="60" t="n">
        <v>148</v>
      </c>
      <c r="B149" s="60" t="s">
        <v>116</v>
      </c>
      <c r="C149" s="60" t="s">
        <v>256</v>
      </c>
      <c r="D149" s="60" t="s">
        <v>252</v>
      </c>
      <c r="E149" s="61" t="n">
        <v>1.05641</v>
      </c>
      <c r="F149" s="61" t="n">
        <v>1.05692</v>
      </c>
      <c r="G149" s="61" t="n">
        <v>1.05502</v>
      </c>
      <c r="H149" s="61" t="n">
        <v>1.05533</v>
      </c>
      <c r="I149" s="62" t="n">
        <f aca="false">ABS(H149-E149)</f>
        <v>0.00107999999999997</v>
      </c>
      <c r="J149" s="62" t="n">
        <f aca="false">F149-G149</f>
        <v>0.00190000000000001</v>
      </c>
      <c r="K149" s="63" t="n">
        <f aca="false">IF(J149=0,0,I149/J149)</f>
        <v>0.568421052631559</v>
      </c>
      <c r="L149" s="62" t="n">
        <f aca="false">MAX(F149-G149,ABS(F149-H148),ABS(G149-H148))</f>
        <v>0.00190000000000001</v>
      </c>
      <c r="M149" s="62" t="n">
        <f aca="false">AVERAGE(L136:L149)</f>
        <v>0.00181571428571429</v>
      </c>
      <c r="N149" s="62" t="n">
        <f aca="false">H149*0.0909090909090909+N148*(1-0.0909090909090909)</f>
        <v>1.05964180847336</v>
      </c>
      <c r="O149" s="62" t="n">
        <f aca="false">AVERAGE(I136:I149)</f>
        <v>0.000761428571428548</v>
      </c>
      <c r="P149" s="62" t="n">
        <f aca="false">AVERAGE(J145:J149)</f>
        <v>0.00170199999999996</v>
      </c>
      <c r="Q149" s="62" t="n">
        <f aca="false">AVERAGE(J140:J144)</f>
        <v>0.00184600000000006</v>
      </c>
      <c r="R149" s="63" t="n">
        <f aca="false">IF(Q149=0,0,P149/Q149)</f>
        <v>0.921993499458237</v>
      </c>
    </row>
    <row r="150" customFormat="false" ht="15" hidden="false" customHeight="true" outlineLevel="0" collapsed="false">
      <c r="A150" s="60" t="n">
        <v>149</v>
      </c>
      <c r="B150" s="60" t="s">
        <v>116</v>
      </c>
      <c r="C150" s="60" t="s">
        <v>257</v>
      </c>
      <c r="D150" s="60" t="s">
        <v>258</v>
      </c>
      <c r="E150" s="61" t="n">
        <v>1.05533</v>
      </c>
      <c r="F150" s="61" t="n">
        <v>1.05745</v>
      </c>
      <c r="G150" s="61" t="n">
        <v>1.0551</v>
      </c>
      <c r="H150" s="61" t="n">
        <v>1.05698</v>
      </c>
      <c r="I150" s="62" t="n">
        <f aca="false">ABS(H150-E150)</f>
        <v>0.00164999999999993</v>
      </c>
      <c r="J150" s="62" t="n">
        <f aca="false">F150-G150</f>
        <v>0.00235000000000007</v>
      </c>
      <c r="K150" s="63" t="n">
        <f aca="false">IF(J150=0,0,I150/J150)</f>
        <v>0.702127659574416</v>
      </c>
      <c r="L150" s="62" t="n">
        <f aca="false">MAX(F150-G150,ABS(F150-H149),ABS(G150-H149))</f>
        <v>0.00235000000000007</v>
      </c>
      <c r="M150" s="62" t="n">
        <f aca="false">AVERAGE(L137:L150)</f>
        <v>0.00190071428571429</v>
      </c>
      <c r="N150" s="62" t="n">
        <f aca="false">H150*0.0909090909090909+N149*(1-0.0909090909090909)</f>
        <v>1.05939982588487</v>
      </c>
      <c r="O150" s="62" t="n">
        <f aca="false">AVERAGE(I137:I150)</f>
        <v>0.000849285714285695</v>
      </c>
      <c r="P150" s="62" t="n">
        <f aca="false">AVERAGE(J146:J150)</f>
        <v>0.00200199999999997</v>
      </c>
      <c r="Q150" s="62" t="n">
        <f aca="false">AVERAGE(J141:J145)</f>
        <v>0.00151200000000005</v>
      </c>
      <c r="R150" s="63" t="n">
        <f aca="false">IF(Q150=0,0,P150/Q150)</f>
        <v>1.32407407407401</v>
      </c>
    </row>
    <row r="151" customFormat="false" ht="15" hidden="false" customHeight="true" outlineLevel="0" collapsed="false">
      <c r="A151" s="60" t="n">
        <v>150</v>
      </c>
      <c r="B151" s="60" t="s">
        <v>116</v>
      </c>
      <c r="C151" s="60" t="s">
        <v>259</v>
      </c>
      <c r="D151" s="60" t="s">
        <v>258</v>
      </c>
      <c r="E151" s="61" t="n">
        <v>1.05698</v>
      </c>
      <c r="F151" s="61" t="n">
        <v>1.05743</v>
      </c>
      <c r="G151" s="61" t="n">
        <v>1.05638</v>
      </c>
      <c r="H151" s="61" t="n">
        <v>1.05673</v>
      </c>
      <c r="I151" s="62" t="n">
        <f aca="false">ABS(H151-E151)</f>
        <v>0.000250000000000084</v>
      </c>
      <c r="J151" s="62" t="n">
        <f aca="false">F151-G151</f>
        <v>0.00105</v>
      </c>
      <c r="K151" s="63" t="n">
        <f aca="false">IF(J151=0,0,I151/J151)</f>
        <v>0.238095238095319</v>
      </c>
      <c r="L151" s="62" t="n">
        <f aca="false">MAX(F151-G151,ABS(F151-H150),ABS(G151-H150))</f>
        <v>0.00105</v>
      </c>
      <c r="M151" s="62" t="n">
        <f aca="false">AVERAGE(L138:L151)</f>
        <v>0.00180642857142857</v>
      </c>
      <c r="N151" s="62" t="n">
        <f aca="false">H151*0.0909090909090909+N150*(1-0.0909090909090909)</f>
        <v>1.05915711444079</v>
      </c>
      <c r="O151" s="62" t="n">
        <f aca="false">AVERAGE(I138:I151)</f>
        <v>0.00077214285714284</v>
      </c>
      <c r="P151" s="62" t="n">
        <f aca="false">AVERAGE(J147:J151)</f>
        <v>0.00186999999999999</v>
      </c>
      <c r="Q151" s="62" t="n">
        <f aca="false">AVERAGE(J142:J146)</f>
        <v>0.00154800000000002</v>
      </c>
      <c r="R151" s="63" t="n">
        <f aca="false">IF(Q151=0,0,P151/Q151)</f>
        <v>1.2080103359173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2026-06-23T03:05:13Z</dcterms:created>
  <dc:creator>openpyxl</dc:creator>
  <dc:description/>
  <dc:language>en-US</dc:language>
  <cp:lastModifiedBy/>
  <dcterms:modified xsi:type="dcterms:W3CDTF">2026-06-26T04:39:23Z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